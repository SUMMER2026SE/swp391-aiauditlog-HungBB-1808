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ungtran\Downloads\"/>
    </mc:Choice>
  </mc:AlternateContent>
  <xr:revisionPtr revIDLastSave="0" documentId="13_ncr:1_{A4515360-8830-4248-BC03-1B522A4E34D2}" xr6:coauthVersionLast="47" xr6:coauthVersionMax="47" xr10:uidLastSave="{00000000-0000-0000-0000-000000000000}"/>
  <bookViews>
    <workbookView xWindow="-110" yWindow="-110" windowWidth="25820" windowHeight="16220" tabRatio="500" xr2:uid="{00000000-000D-0000-FFFF-FFFF00000000}"/>
  </bookViews>
  <sheets>
    <sheet name="1. Overview &amp; Per-Week Summary" sheetId="1" r:id="rId1"/>
    <sheet name="2. Detailed Audit Log" sheetId="2" r:id="rId2"/>
    <sheet name="3. Hallucination Detection" sheetId="3" r:id="rId3"/>
    <sheet name="4. Self-Assessment Checklis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8" i="3" l="1"/>
  <c r="D16" i="4" s="1"/>
  <c r="B43" i="1"/>
  <c r="B42" i="1"/>
  <c r="B41" i="1"/>
  <c r="B40" i="1"/>
  <c r="D15" i="4" s="1"/>
  <c r="F29" i="1"/>
  <c r="C14" i="1" s="1"/>
  <c r="D29" i="1"/>
  <c r="E29" i="1" s="1"/>
  <c r="C29" i="1"/>
  <c r="C11" i="1" s="1"/>
  <c r="E28" i="1"/>
  <c r="E27" i="1"/>
  <c r="E26" i="1"/>
  <c r="E25" i="1"/>
  <c r="E24" i="1"/>
  <c r="E23" i="1"/>
  <c r="E22" i="1"/>
  <c r="E21" i="1"/>
  <c r="E20" i="1"/>
  <c r="E19" i="1"/>
  <c r="E18" i="1"/>
  <c r="C12" i="1" l="1"/>
  <c r="C13" i="1" s="1"/>
  <c r="D14" i="4" s="1"/>
</calcChain>
</file>

<file path=xl/sharedStrings.xml><?xml version="1.0" encoding="utf-8"?>
<sst xmlns="http://schemas.openxmlformats.org/spreadsheetml/2006/main" count="1445" uniqueCount="877">
  <si>
    <t>AI AUDIT LOG - CONSOLIDATED SUMMARY (WEEK 1 - WEEK 11)</t>
  </si>
  <si>
    <t>Tổng hợp toàn bộ 11 file AI Audit Log hàng tuần thành một báo cáo duy nhất cho toàn dự án.</t>
  </si>
  <si>
    <t>STUDENT INFORMATION</t>
  </si>
  <si>
    <t>Student Name:</t>
  </si>
  <si>
    <t>Trần Tiến Hùng</t>
  </si>
  <si>
    <t>Student ID:</t>
  </si>
  <si>
    <t>DE190119</t>
  </si>
  <si>
    <t>Course:</t>
  </si>
  <si>
    <t>SWP391</t>
  </si>
  <si>
    <t>Project:</t>
  </si>
  <si>
    <t>Dermatology Clinic Management System</t>
  </si>
  <si>
    <t>PROJECT-WIDE AI USAGE SUMMARY</t>
  </si>
  <si>
    <t>Total Prompts Used (Week 1-11, all AI tools):</t>
  </si>
  <si>
    <t>Total Core Prompts Logged (Week 1-11):</t>
  </si>
  <si>
    <t>Overall Selection Ratio:</t>
  </si>
  <si>
    <t>Total Hallucinations Detected (Week 1-11):</t>
  </si>
  <si>
    <t>PER-WEEK BREAKDOWN</t>
  </si>
  <si>
    <t>Week</t>
  </si>
  <si>
    <t>Assignment / Trọng tâm tuần</t>
  </si>
  <si>
    <t>Total Prompts</t>
  </si>
  <si>
    <t>Core Prompts</t>
  </si>
  <si>
    <t>Selection Ratio</t>
  </si>
  <si>
    <t>Hallucination Detected</t>
  </si>
  <si>
    <t>Week 1</t>
  </si>
  <si>
    <t>Project - Dermatology Clinic Management System</t>
  </si>
  <si>
    <t>Week 2</t>
  </si>
  <si>
    <t>Project - Dermatology Clinic Management System (Database Design &amp; Authentication Phase)</t>
  </si>
  <si>
    <t>Week 3</t>
  </si>
  <si>
    <t>Project - Dermatology Clinic Management System (Logic Flows &amp; Dashboards)</t>
  </si>
  <si>
    <t>Week 4</t>
  </si>
  <si>
    <t>Project - Dermatology Clinic Management System (Doctor Workflow &amp; DB Integration)</t>
  </si>
  <si>
    <t>Week 5</t>
  </si>
  <si>
    <t>Project - Dermatology Clinic Management System (UI Refinements &amp; Staff Workflows)</t>
  </si>
  <si>
    <t>Week 6</t>
  </si>
  <si>
    <t>Project - Dermatology Clinic Management System (Receptionist Flow &amp; UI Polish)</t>
  </si>
  <si>
    <t>Week 7</t>
  </si>
  <si>
    <t>Project - Dermatology Clinic Management System (Admin Refactor &amp; Multi-role Workflows)</t>
  </si>
  <si>
    <t>Week 8</t>
  </si>
  <si>
    <t>Project - Dermatology Clinic Management System (Doctor &amp; Technician UI Polish - Liquid Glass Effects, Icon System Revamp, Voucher Bug Fix)</t>
  </si>
  <si>
    <t>Week 9</t>
  </si>
  <si>
    <t>Project - Dermatology Clinic Management System (AI Scanner, Chatbot &amp; Scheduling)</t>
  </si>
  <si>
    <t>Week 10</t>
  </si>
  <si>
    <t>Project - Dermatology Clinic Management System (AI Skin Scan Fix, Chatbot-Receptionist Integration, Voice-to-Form AI, Messaging &amp; Calendar UI Overhaul, Performance Optimization)</t>
  </si>
  <si>
    <t>Week 11</t>
  </si>
  <si>
    <t>Project - Dermatology Clinic Management System (Mid-Project Audit &amp; Regression Review - Weeks 1-10)</t>
  </si>
  <si>
    <t>TOTAL</t>
  </si>
  <si>
    <t>Ghi chú: Số Total Prompts của Week 1 trong file gốc ghi là "~50" (giá trị gần đúng do sinh viên tự ước lượng); đã quy đổi thành 50 để phục vụ tính tổng toàn dự án.</t>
  </si>
  <si>
    <t>AI TOOLS USED ACROSS THE PROJECT</t>
  </si>
  <si>
    <t>AI Tool</t>
  </si>
  <si>
    <t>Vai trò xuyên suốt dự án (Week 1-11)</t>
  </si>
  <si>
    <t>Claude (on Antigravity)</t>
  </si>
  <si>
    <t>Công cụ chính xuyên suốt cả dự án: vibe coding toàn bộ chức năng, giao diện và logic nghiệp vụ - từ thiết kế DB/Auth (Week 1-2), luồng nghiệp vụ đa vai trò (Week 3-7), các tính năng AI (Skin Scanner, Chatbot, Voice-to-Form - Week 9-10), đến rà soát/refactor trong tuần audit (Week 11).</t>
  </si>
  <si>
    <t>High (11/11 tuần)</t>
  </si>
  <si>
    <t>ChatGPT</t>
  </si>
  <si>
    <t>Vai trò linh hoạt theo từng giai đoạn: kiểm tra cú pháp và test luồng ở giai đoạn đầu (Week 1-7), đánh giá hậu kiểm sau khi Claude code xong ở giai đoạn tính năng AI (Week 9-10), và soạn kịch bản regression/load test trong tuần audit (Week 11).</t>
  </si>
  <si>
    <t>High/Medium (11/11 tuần)</t>
  </si>
  <si>
    <t>Gemini</t>
  </si>
  <si>
    <t>Vai trò linh hoạt theo từng giai đoạn: gợi ý kiến trúc và giải đáp bảo mật ở giai đoạn đầu-giữa (Week 1-9), tinh chỉnh prompt hoàn chỉnh (Prompt Engineering) cho Claude ở Week 10, và phân tích tính nhất quán kiến trúc toàn dự án ở tuần audit (Week 11).</t>
  </si>
  <si>
    <t>Medium/High (11/11 tuần)</t>
  </si>
  <si>
    <t>DTC COMPONENT DISTRIBUTION - WHOLE PROJECT</t>
  </si>
  <si>
    <t>DTC Component</t>
  </si>
  <si>
    <t>Total Core Prompts (Week 1-11)</t>
  </si>
  <si>
    <t>Required (Min)</t>
  </si>
  <si>
    <t>Decomposition</t>
  </si>
  <si>
    <t>&gt;= 1 per week (11 weeks)</t>
  </si>
  <si>
    <t>Pattern Recognition</t>
  </si>
  <si>
    <t>Abstraction</t>
  </si>
  <si>
    <t>Algorithms</t>
  </si>
  <si>
    <t>DETAILED AI AUDIT LOG - ALL WEEKS (1-11)</t>
  </si>
  <si>
    <t>Tổng hợp toàn bộ CORE PROMPTS (Decision/Problem-Solving/Verification) từ 11 tuần. Mỗi entry giữ nguyên số thứ tự gốc trong tuần (Entry #) và được gắn thêm cột Week để tra cứu.</t>
  </si>
  <si>
    <t>Entry #</t>
  </si>
  <si>
    <t>Prompt Type</t>
  </si>
  <si>
    <t>Stage/Component</t>
  </si>
  <si>
    <t>Problem/Context</t>
  </si>
  <si>
    <t>Prompt to AI</t>
  </si>
  <si>
    <t>AI Response (Summary)</t>
  </si>
  <si>
    <t>Human Delta &amp; Reflection</t>
  </si>
  <si>
    <t>Evidence</t>
  </si>
  <si>
    <t>001</t>
  </si>
  <si>
    <t>DECISION</t>
  </si>
  <si>
    <t>Cần chia nhỏ hệ thống phòng khám thành các module</t>
  </si>
  <si>
    <t>I am building a Dermatology Clinic Management System for my SWP391 project. Suggest the core modules I need to build.</t>
  </si>
  <si>
    <t>AI gợi ý 12 modules bao gồm: Patient, Doctor, Appointment, AI Analysis, Billing, Pharmacy, HR, Marketing, Inventory, Analytics, Payroll, CRM.</t>
  </si>
  <si>
    <t>Critical Thinking: 12 modules là quá đồ sộ so với quy mô nhóm 5 người trong 1 kỳ học.
Contextualization: Giới hạn dự án SWP391 chỉ tập trung vào luồng nghiệp vụ cốt lõi.
Creative Synthesis: Tôi đã gộp và cắt giảm xuống còn 5 modules chính: User Auth, Appointment, Medical Record (kèm AI soi da), Billing, Pharmacy.
Decision: Chốt thiết kế kiến trúc với 5 modules cốt lõi để đảm bảo đúng tiến độ.</t>
  </si>
  <si>
    <t>UML Package Diagram</t>
  </si>
  <si>
    <t>002</t>
  </si>
  <si>
    <t>Thiết kế luồng phân tích ảnh AI soi da</t>
  </si>
  <si>
    <t>How should I divide the workflow for the AI skin analysis feature in my clinic system?</t>
  </si>
  <si>
    <t>AI gợi ý: Bệnh nhân upload ảnh -&gt; Server xử lý qua AI -&gt; Trả kết quả thẳng cho bệnh nhân để tự xem xét.</t>
  </si>
  <si>
    <t>Critical Thinking: Việc trả kết quả AI trực tiếp cho bệnh nhân mà không qua bác sĩ có rủi ro lớn về y tế và tâm lý.
Contextualization: Đây là hệ thống quản lý y tế chính thống, AI chỉ mang tính 'hỗ trợ' (assistive), quyết định cuối cùng phải là con người.
Creative Synthesis: Tôi đổi lại luồng hoạt động: Bệnh nhân upload -&gt; AI phân tích -&gt; Kết quả lưu vào dạng bản nháp (draft) -&gt; Bác sĩ review và chốt chẩn đoán -&gt; Bệnh nhân mới được xem.
Decision: Áp dụng mô hình luồng Human-in-the-loop.</t>
  </si>
  <si>
    <t>Activity Diagram</t>
  </si>
  <si>
    <t>003</t>
  </si>
  <si>
    <t>PROBLEM-SOLVING</t>
  </si>
  <si>
    <t>Tách logic và cấu trúc thanh toán hóa đơn</t>
  </si>
  <si>
    <t>The Billing module is getting complex with clinic fee, medicine fee, and AI service fee. How to decompose it?</t>
  </si>
  <si>
    <t>AI khuyên dùng Invoice Service riêng biệt, tách rời hoàn toàn các bảng cơ sở dữ liệu Clinic_Fee, Medicine_Fee, Service_Fee.</t>
  </si>
  <si>
    <t>Critical Thinking: Thiết kế quá rời rạc như vậy sẽ dẫn đến việc hệ thống phải thực hiện nhiều phép join bảng phức tạp khi truy vấn hóa đơn.
Contextualization: Hệ thống cơ sở dữ liệu cần tối ưu hóa hiệu năng truy vấn cho hóa đơn tổng của một ca khám bệnh.
Creative Synthesis: Tôi gom thành 1 bảng Invoice duy nhất để quản lý chung, có bảng phụ Invoice_Details lưu phân loại (type) của từng item.
Decision: Gom nhóm DB hợp lý để giảm độ phức tạp cho luồng code backend.</t>
  </si>
  <si>
    <t>ERD Diagram v1</t>
  </si>
  <si>
    <t>004</t>
  </si>
  <si>
    <t>Quản lý hệ thống phân quyền (RBAC) cho nhiều role</t>
  </si>
  <si>
    <t>I have 4 roles: Admin, Doctor, Receptionist, Technician. How to structure their permissions efficiently?</t>
  </si>
  <si>
    <t>AI gợi ý tạo 4 bảng dữ liệu người dùng riêng biệt hoàn toàn: Admin_Table, Doctor_Table, Receptionist_Table, Technician_Table để quản lý độc lập.</t>
  </si>
  <si>
    <t>Critical Thinking: Việc tạo nhiều bảng user riêng lẻ sẽ gây trùng lặp mã nguồn (vi phạm nguyên lý DRY) khi làm chức năng Login/Forgot Password.
Contextualization: Tất cả các phân hệ phân quyền và role trong dự án y tế này đều sử dụng chung một cơ chế xác thực.
Creative Synthesis: Tôi nhận diện được pattern chung này và gom về 1 bảng Account duy nhất, sử dụng trường RoleID làm khóa ngoại để phân quyền.
Decision: Sử dụng mô hình RBAC chuẩn hóa với 1 bảng Account tập trung.</t>
  </si>
  <si>
    <t>Class Diagram</t>
  </si>
  <si>
    <t>005</t>
  </si>
  <si>
    <t>Thiết kế mẫu giao diện Dashboard cho các vai trò</t>
  </si>
  <si>
    <t>What is a good UI pattern for medical dashboards with different roles?</t>
  </si>
  <si>
    <t>AI khuyên làm 1 trang Dashboard động hoàn toàn, load và render các component trực tiếp dựa vào role hiện tại của tài liệu session.</t>
  </si>
  <si>
    <t>Critical Thinking: Thiết kế UI động quá phức tạp cho năng lực của team frontend tại thời điểm hiện tại, dễ gây ra lỗ hổng bảo mật render.
Contextualization: Dự án cần sự ổn định và phân tách rõ ràng giao diện của từng bộ phận.
Creative Synthesis: Tôi tách thành các layout tĩnh riêng biệt (DoctorLayout, AdminLayout) kế thừa chung từ 1 BaseLayout cố định.
Decision: Áp dụng Pattern giao diện cấu trúc để dễ dàng lập trình frontend.</t>
  </si>
  <si>
    <t>UI Wireframe</t>
  </si>
  <si>
    <t>006</t>
  </si>
  <si>
    <t>Trừu tượng hóa và thiết kế thực thể Hồ sơ y tế</t>
  </si>
  <si>
    <t>Help me design the Class Diagram for MedicalRecord and Prescription in a dermatology context.</t>
  </si>
  <si>
    <t>AI thiết kế Prescription (Đơn thuốc) là 1 thuộc tính kiểu String nằm trực tiếp ngay bên trong bảng MedicalRecord.</t>
  </si>
  <si>
    <t>Critical Thinking: Đơn thuốc thực tế bao gồm rất nhiều loại thuốc, số lượng, liều dùng chi tiết, không thể gói gọn trong một chuỗi String.
Contextualization: Hệ thống cần quản lý, truy xuất chi tiết từng viên thuốc và đồng bộ với kho thuốc sau này.
Creative Synthesis: Trừu tượng hóa thực thể: Tách Prescription thành một Class riêng biệt (quan hệ 1-1 với MedicalRecord), và thêm Class PrescriptionDetail (quan hệ 1-N).
Decision: Thiết kế quan hệ thực thể chuẩn hóa để đảm bảo nghiệp vụ đơn thuốc điện tử.</t>
  </si>
  <si>
    <t>ERD - Record</t>
  </si>
  <si>
    <t>007</t>
  </si>
  <si>
    <t>Mô hình hóa Use Case Đặt lịch khám trực tuyến</t>
  </si>
  <si>
    <t>What are the actors and use cases for 'Book Appointment'?</t>
  </si>
  <si>
    <t>AI liệt kê Actor duy nhất: Patient. Các use cases đi kèm: View Schedule, Select Doctor, Pay deposit.</t>
  </si>
  <si>
    <t>Critical Thinking: AI đã bỏ quên một trường hợp thực tế là Receptionist (Lễ tân) - người có thẩm quyền đặt lịch trực tiếp thay cho bệnh nhân gọi qua điện thoại.
Contextualization: Quy trình vận hành phòng khám thực tế luôn yêu cầu sự đồng bộ giữa đặt lịch online và offline.
Creative Synthesis: Thêm Actor Receptionist vào sơ đồ, liên kết thiết kế dùng chung Use Case 'Book Appointment' với Patient.
Decision: Cập nhật sơ đồ Use Case tổng thể của hệ thống.</t>
  </si>
  <si>
    <t>Use Case Diagram</t>
  </si>
  <si>
    <t>008</t>
  </si>
  <si>
    <t>Giải pháp lưu trữ tệp hình ảnh soi da của AI</t>
  </si>
  <si>
    <t>How should I store the AI skin scan result images in the database?</t>
  </si>
  <si>
    <t>AI khuyên lưu trực tiếp tệp hình ảnh dưới dạng dữ liệu nhị phân BLOB ngay trong MySQL database.</t>
  </si>
  <si>
    <t>Critical Thinking: Lưu ảnh bằng BLOB sẽ làm phình to dung lượng DB cực kỳ nhanh, kéo tụt hiệu năng query và backup dữ liệu.
Contextualization: Ảnh y tế soi da thường có độ phân giải cao và số lượng lưu trữ rất lớn.
Creative Synthesis: Trừu tượng hóa lớp lưu trữ: Cơ sở dữ liệu chỉ lưu chuỗi Image_URL. Tệp ảnh vật lý sẽ được đẩy lên Cloudinary.
Decision: Lưu URL vào CSDL, lưu file gốc trên nền tảng Cloud.</t>
  </si>
  <si>
    <t>DB Schema</t>
  </si>
  <si>
    <t>009</t>
  </si>
  <si>
    <t>Thuật toán kiểm tra trùng lịch hẹn (Scheduling)</t>
  </si>
  <si>
    <t>If a user books an appointment at 9:00 AM, how to prevent overlapping with others?</t>
  </si>
  <si>
    <t>AI viết thuật toán kiểm tra trùng lịch đơn giản bằng cách so khớp chính xác: `WHERE Appointment_Time = New_Time`.</t>
  </si>
  <si>
    <t>Critical Thinking: Cách check so khớp chính xác này sai hoàn toàn về mặt logic toán học, vì mỗi ca khám đều có một khoảng thời gian (Duration).
Contextualization: Các ca dịch vụ tiểu phẫu da liễu có thời gian kéo dài khác nhau (15 phút, 30 phút, 1 tiếng).
Creative Synthesis: Viết lại thuật toán dựa trên logic kiểm tra khoảng thời gian giao nhau: `New_Start &lt; Exist_End` AND `New_End &gt; Exist_Start`.
Decision: Áp dụng thuật toán Interval Overlap check để kiểm soát lịch hẹn chính xác.</t>
  </si>
  <si>
    <t>Code Snippet</t>
  </si>
  <si>
    <t>010</t>
  </si>
  <si>
    <t>Điều phối hàng chờ khám tại phòng khám (Waiting Queue)</t>
  </si>
  <si>
    <t>How to manage the patient queue in the clinic on the actual day?</t>
  </si>
  <si>
    <t>AI gợi ý sử dụng thuật toán hàng đợi cơ bản FIFO (First In, First Out) bằng cấu trúc dữ liệu Queue.</t>
  </si>
  <si>
    <t>Critical Thinking: Cơ chế FIFO thuần túy không đáp ứng được các tình huống thực tế như bệnh nhân cấp cứu hoặc người đã đặt lịch hẹn trước đúng giờ.
Contextualization: Phòng khám cần ưu tiên cao nhất cho người đã đặt lịch qua ứng dụng để tăng trải nghiệm.
Creative Synthesis: Chuyển đổi sang thuật toán Priority Queue (Hàng đợi ưu tiên). Trọng số ưu tiên: Cấp cứu &gt; Đặt lịch đúng giờ &gt; Khách vãng lai.
Decision: Triển khai cấu trúc Priority Queue cho module điều phối hàng chờ tại quầy.</t>
  </si>
  <si>
    <t>Logic Flowchart</t>
  </si>
  <si>
    <t>Chia nhỏ luồng Đăng ký tài khoản thành các bước xử lý dữ liệu và kiểm tra (validation) rõ ràng để phân công cho team.</t>
  </si>
  <si>
    <t>Break down the User Registration workflow for a clinic system into frontend validation, backend processing, and database persistence steps.</t>
  </si>
  <si>
    <t>Gemini gợi ý luồng 7 bước đầy đủ: (1) FE validate form → (2) POST /register → (3) BE kiểm tra email trùng → (4) BCrypt hash password → (5) Lưu DB status='PENDING' → (6) Tạo OTP 6 số → (7) Gửi OTP qua email SMTP để kích hoạt tài khoản.</t>
  </si>
  <si>
    <t>Critical Thinking: Luồng 7 bước hoàn chỉnh về bảo mật, nhưng tích hợp SMTP ngay từ đầu sẽ làm team mắc kẹt ở config dịch vụ email bên ngoài thay vì hoàn thiện core flow.
Contextualization: Giai đoạn Sprint 1 mục tiêu là thông luồng chức năng chính. SMTP là dependency ngoài có thể gây chặn tiến độ nếu cấu hình sai.
Creative Synthesis: Tách luồng thành 2 phase — Phase A (core flow: Register→Hash→Save→Auto-activate cho dev), Phase B (tích hợp SMTP OTP ở sprint sau). DB và API vẫn thiết kế đủ cột OTP để tích hợp sau.
Decision: Implement đủ 7 bước ở tầng BE+DB (bảng OTP_Tokens, API /verify-otp), nhưng ở môi trường dev OTP trả về response JSON để test nhanh. SMTP tích hợp ở sprint tiếp theo.</t>
  </si>
  <si>
    <t>Sơ đồ luồng đăng ký (draw.io); API endpoint list /register /verify-otp</t>
  </si>
  <si>
    <t>Chia tách cấu trúc giao diện trang 'Xem hồ sơ bệnh án' thành các component nhỏ để vibe code với Claude hiệu quả hơn.</t>
  </si>
  <si>
    <t>How should I structure the UI components for the Patient Medical Record View page to make it modular in React/Next.js?</t>
  </si>
  <si>
    <t>Claude (Antigravity) gợi ý bóc tách thành nhiều component độc lập: PatientSummary, AppointmentHistory, PrescriptionList, SkinAnalysisResult, BillingHistory — mỗi component tự fetch data riêng.</t>
  </si>
  <si>
    <t>Critical Thinking: Phân rã quá sâu thành nhiều component leaf tự fetch data gây Prop Drilling và khó đồng bộ loading state khi chưa dùng state management (Redux/Zustand).
Contextualization: Trang xem hồ sơ chủ yếu hiển thị dạng đọc, không tương tác phức tạp. Team frontend chưa có kinh nghiệm Redux.
Creative Synthesis: Gộp lại thành 3 phân vùng lớn: PatientProfileCard (thông tin hành chính), MedicalHistoryTable (lịch khám + đơn thuốc), SkinAnalysisGallery (kết quả AI). Fetch data ở component cha, truyền xuống qua props.
Decision: Áp dụng cấu trúc 3 component lớn + 1 cha quản lý data. Prompt Claude từng component theo spec rõ ràng.</t>
  </si>
  <si>
    <t>Sơ đồ kiến trúc UI Component; Code MedicalRecordPage.jsx</t>
  </si>
  <si>
    <t>Tách logic lưu trữ mật khẩu trong DB — cần quyết định tách bảng riêng hay gộp vào bảng Account.</t>
  </si>
  <si>
    <t>How should I structure the database to secure user passwords? Should I split the password into a separate table User_Passwords linked 1-1 to Accounts?</t>
  </si>
  <si>
    <t>Gemini khuyên tạo bảng `User_Passwords` riêng biệt liên kết 1-1 với `Accounts` để tách rời thông tin định danh và xác thực, tăng bảo mật theo nguyên lý Separation of Concerns.</t>
  </si>
  <si>
    <t>Critical Thinking: Tạo bảng mật khẩu riêng phát sinh thêm JOIN SQL mỗi lần đăng nhập. Không đem lại lợi ích bảo mật vượt trội nếu mật khẩu đã được hash đúng cách với BCrypt.
Contextualization: Hệ thống dùng Spring Boot + Spring Data JPA. Query login cần tốc độ cao, JOIN thêm bảng làm tăng latency không đáng có.
Creative Synthesis: Bảo mật thực sự đến từ thuật toán hash mạnh, không phải từ tách bảng vật lý. Gộp `password_hash` vào bảng `Account` với BCrypt salt động là đủ và tối ưu hơn.
Decision: Gộp password_hash vào bảng Account. Bảo mật dựa hoàn toàn vào BCryptPasswordEncoder của Spring Security.</t>
  </si>
  <si>
    <t>SQL script tạo bảng Account; Code AuthServiceImpl.java</t>
  </si>
  <si>
    <t>Thiết kế bảng Audit Log để ghi vết mọi hành động truy cập hồ sơ bệnh án — yêu cầu pháp lý y tế.</t>
  </si>
  <si>
    <t>Design a database schema to log every time a doctor or receptionist views or modifies a patient's medical record for compliance audit purposes.</t>
  </si>
  <si>
    <t>ChatGPT gợi ý tạo 1 bảng Log tổng quát, lưu toàn bộ thông tin hành động dưới dạng chuỗi JSON trong 1 cột duy nhất `action_data TEXT`.</t>
  </si>
  <si>
    <t>Critical Thinking: Lưu JSON thô vào cột TEXT của MySQL khiến query lọc theo actor, time range, hoặc action type cực kỳ chậm vì không thể đánh index trên JSON string.
Contextualization: Phòng khám cần audit trail nhanh để phát hiện truy cập trái phép hồ sơ bệnh nhân theo thời gian thực. Query chậm là không chấp nhận được.
Creative Synthesis: Nhận diện Pattern Audit Log quan hệ chuẩn: thiết kế bảng System_Audits với các cột tường minh: audit_id, actor_id (FK), action_type (ENUM), target_record_id, timestamp. Đánh Index composite (actor_id, timestamp).
Decision: Áp dụng Structured Audit Log pattern. Index composite đảm bảo query theo nhân viên + thời gian &lt; 10ms.</t>
  </si>
  <si>
    <t>ERD bảng System_Audits; Index DDL script; Query test result</t>
  </si>
  <si>
    <t>Chọn UI Pattern cho form Đăng nhập / Đăng ký — cần tối ưu cho cả bệnh nhân lớn tuổi dùng trên mobile.</t>
  </si>
  <si>
    <t>Give me a UI pattern for a Login/Register form with real-time validation feedback using React + Tailwind CSS.</t>
  </si>
  <si>
    <t>Claude (Antigravity) cung cấp code giao diện dạng 'Sliding Card' — 2 form trượt qua lại trên cùng 1 khung hình bằng hiệu ứng CSS transform, lỗi validation hiển thị bằng pop-up alert.</t>
  </si>
  <si>
    <t>Critical Thinking: Giao diện sliding card dễ vỡ layout trên mobile (transform % không nhất quán giữa các màn hình nhỏ). Pop-up alert chặn tương tác, phá vỡ trải nghiệm người dùng đặc biệt với người cao tuổi.
Contextualization: Hệ thống y tế cần giao diện đơn giản, rõ ràng. Bệnh nhân lớn tuổi không quen với hiệu ứng phức tạp.
Creative Synthesis: Nhận diện Inline Validation Pattern: tách 2 trang Login và Register thành 2 route riêng. Lỗi hiển thị ngay dưới ô input dạng text đỏ nhỏ (không modal). Prompt lại Claude với spec rõ ràng hơn.
Decision: Tách 2 trang riêng biệt + Inline Validation. Re-prompt Claude với yêu cầu cụ thể: 'no modal, inline error below each input field'.</t>
  </si>
  <si>
    <t>Figma Wireframe Login/Register; Code LoginPage.jsx refactored</t>
  </si>
  <si>
    <t>Chọn cơ chế xác thực phiên đăng nhập: Session-based hay JWT — cần đảm bảo bác sĩ bị khóa tài khoản mất quyền truy cập ngay lập tức.</t>
  </si>
  <si>
    <t>Compare Session-based authentication vs JWT for a Java clinic management system. Which is better for security and performance?</t>
  </si>
  <si>
    <t>ChatGPT khuyên dùng Stateless JWT thuần túy, lưu token ở LocalStorage phía Frontend để không cần lưu session state trên server RAM.</t>
  </si>
  <si>
    <t>Critical Thinking: JWT thuần túy không thể revoke ngay lập tức trước khi hết hạn. Nếu tài khoản bác sĩ bị khóa khẩn cấp, token vẫn còn hiệu lực đến hết TTL — rủi ro nghiêm trọng trong hệ thống y tế. Lưu JWT ở LocalStorage cũng dễ bị XSS attack.
Contextualization: Quản trị viên phòng khám cần khóa tài khoản nhân viên vi phạm và cắt quyền truy cập hồ sơ bệnh nhân ngay lập tức.
Creative Synthesis: Nhận diện Hybrid Auth Pattern: JWT (15 phút TTL) + Token Blacklist lưu trong server memory/Redis. Mỗi API call check JWT validity và blacklist. JWT lưu HttpOnly Cookie thay vì LocalStorage để chống XSS.
Decision: JWT (short TTL) + Blacklist Cache + HttpOnly Cookie. Revoke ngay lập tức khi khóa tài khoản.</t>
  </si>
  <si>
    <t>Sơ đồ kiến trúc Auth; Code SecurityConfig.java; Blacklist implementation</t>
  </si>
  <si>
    <t>Thiết kế mapping Entity giữa bảng Account và thông tin cụ thể của Patient/Doctor — tránh trùng lặp dữ liệu.</t>
  </si>
  <si>
    <t>How should I structure the database entity mapping to link the User Account table with Patient and Doctor details without duplicating data?</t>
  </si>
  <si>
    <t>Gemini thiết kế 1 bảng `Users` khổng lồ chứa toàn bộ cột từ thông tin tài khoản đến thông tin y tế đặc thù (bệnh lý bệnh nhân, bằng cấp bác sĩ) với các cột nullable.</t>
  </si>
  <si>
    <t>Critical Thinking: Bảng Users nhồi tất cả cột gây vi phạm chuẩn hóa DB (3NF), tạo ra nhiều cột NULL, lãng phí storage và làm phức tạp query. Mỗi lần thêm thông tin chuyên biệt của 1 role phải ALTER TABLE ảnh hưởng toàn bộ hệ thống.
Contextualization: Hệ thống có 5 roles rõ ràng với thông tin đặc thù rất khác nhau. Doctor cần chuyên khoa/lịch làm việc, Patient cần tiền sử bệnh/dị ứng thuốc.
Creative Synthesis: Trừu tượng hóa theo mô hình phân cấp: bảng Account gốc (id, email, password_hash, role, status) + các bảng Profile con chuyên biệt Doctor_Profiles và Patient_Profiles liên kết FK 1-1.
Decision: Account + Doctor_Profiles + Patient_Profiles. Receptionist và Technician dùng Account table là đủ vì ít thông tin riêng.</t>
  </si>
  <si>
    <t>ERD Cơ sở dữ liệu v3; SQL script migration; Class Diagram Entity</t>
  </si>
  <si>
    <t>Định nghĩa Interface trừu tượng cho Medical Record Service — cần đảm bảo tầng Controller không phụ thuộc trực tiếp vào tầng Data.</t>
  </si>
  <si>
    <t>Design a Java interface/class pattern for Medical Record Management that handles patient profile retrieval and history logs.</t>
  </si>
  <si>
    <t>Claude (Antigravity) bỏ qua tầng Interface và cung cấp ngay Concrete Class `MedicalRecordService` chứa toàn bộ code xử lý query thô vào DB.</t>
  </si>
  <si>
    <t>Critical Thinking: Code trực tiếp vào Concrete Class làm Controller tightly coupled với Data Layer, vi phạm nguyên lý Dependency Inversion (SOLID-D). Không thể viết Unit Test Mocking cho tầng Service.
Contextualization: Team 5 người cần cấu trúc code chuẩn để phân chia việc và code review hiệu quả. Tight coupling làm khó bảo trì khi thay đổi DB logic.
Creative Synthesis: Định nghĩa Java Interface `IMedicalRecordService` với các method contract (getPatientHistory, updateAnalysisResult, createRecord). Class `MedicalRecordServiceImpl` implement Interface này. Controller chỉ phụ thuộc vào Interface.
Decision: Interface + Impl pattern. Prompt lại Claude: 'define interface first, then implement'. Code sạch và testable.</t>
  </si>
  <si>
    <t>Code file IMedicalRecordService.java; MedicalRecordServiceImpl.java; Unit test mock</t>
  </si>
  <si>
    <t>Chuẩn hóa cấu trúc response API giữa Spring Boot Backend và React Frontend — cần contract thống nhất cho cả success và error.</t>
  </si>
  <si>
    <t>How should I structure the REST API response from Spring Boot backend to Next.js frontend for login results and error cases?</t>
  </si>
  <si>
    <t>ChatGPT gợi ý trả về trực tiếp Entity object khi thành công, trả về String thô mô tả lỗi khi thất bại.</t>
  </si>
  <si>
    <t>Critical Thinking: Trả về Entity trực tiếp lộ cấu trúc DB ra ngoài và dễ gây Circular Reference JSON với JPA relationships. String lỗi thô không có error code khiến Frontend không thể xử lý UI tương ứng từng loại lỗi.
Contextualization: Frontend và Backend do 2 member khác nhau làm. Cần API contract rõ ràng để làm việc song song mà không bị lệch dữ liệu.
Creative Synthesis: Trừu tượng hóa thành Generic Response Wrapper `ApiResponse&lt;T&gt;` với 4 field: success (boolean), message (String), data (T), errors (List&lt;String&gt;). Mọi API đều trả về cấu trúc này.
Decision: Implement lớp ApiResponse&lt;T&gt; dùng cho toàn bộ project. Frontend parse theo cấu trúc chuẩn này.</t>
  </si>
  <si>
    <t>Code ApiResponse.java; Swagger API docs; FE axios interceptor</t>
  </si>
  <si>
    <t>Implement BCrypt password verification khi đăng nhập — phát hiện lỗi logic nghiêm trọng trong code AI sinh ra.</t>
  </si>
  <si>
    <t>Show me how to implement password verification using BCrypt in my Spring Boot authentication controller.</t>
  </si>
  <si>
    <t>Claude (Antigravity) cung cấp code: `if (BCrypt.hashpw(rawPassword, storedHash) == storedHash)` để so sánh mật khẩu.</t>
  </si>
  <si>
    <t>Critical Thinking: HALLUCINATION + LOGIC ERROR NGHIÊM TRỌNG. BCrypt dùng Salt ngẫu nhiên mỗi lần hash — cùng 1 mật khẩu hash 2 lần cho ra 2 chuỗi hoàn toàn khác nhau. Toán tử `==` so sánh chuỗi sẽ luôn trả về false → tài khoản không thể đăng nhập dù mật khẩu đúng.
Contextualization: Đây là lỗi bảo mật cơ bản nhưng nghiêm trọng — nếu deploy lên production sẽ làm tê liệt hoàn toàn chức năng đăng nhập.
Creative Synthesis: BCrypt có method chuyên dụng để verify: `passwordEncoder.matches(rawPassword, encodedPassword)` — method này hiểu cơ chế salt động và so sánh đúng cách.
Decision: Thay toàn bộ code lỗi bằng `passwordEncoder.matches()`. Viết Unit Test verify đăng nhập đúng/sai để phát hiện sớm lỗi tương tự.</t>
  </si>
  <si>
    <t>Code AuthServiceImpl.java fixed; Unit test login scenarios; BCrypt documentation</t>
  </si>
  <si>
    <t>011</t>
  </si>
  <si>
    <t>Phân trang danh sách hồ sơ bệnh nhân trong DB — phát hiện thuật toán in-memory pagination của AI gây nguy cơ OOM.</t>
  </si>
  <si>
    <t>How should I efficiently retrieve paginated medical records when the database grows to thousands of records?</t>
  </si>
  <si>
    <t>ChatGPT hướng dẫn: `SELECT * FROM Medical_Records` lấy toàn bộ lên bộ nhớ, sau đó dùng Java Stream `.skip(offset).limit(pageSize)` để phân trang ở tầng ứng dụng.</t>
  </si>
  <si>
    <t>Critical Thinking: In-memory pagination là thảm họa hiệu năng. Với 10,000 hồ sơ: mỗi request phải load toàn bộ data lên RAM JVM. Khi DB lên 100,000 records → OutOfMemoryException làm sập server phòng khám.
Contextualization: Phòng khám vận hành lâu dài, DB sẽ tăng trưởng liên tục. Server test của team chỉ có 2GB RAM.
Creative Synthesis: Database-level pagination dùng Spring Data JPA `Pageable` interface tự động sinh SQL `LIMIT offset, pageSize` — chỉ load đúng số record cần thiết lên RAM.
Decision: Dùng `Pageable` của Spring Data JPA. Thêm `@PageableDefault(size=20)` ở Controller. Xóa bỏ hoàn toàn in-memory pagination của AI.</t>
  </si>
  <si>
    <t>Code PatientRepository.java với Pageable; EXPLAIN SQL before/after; Memory usage comparison</t>
  </si>
  <si>
    <t>Phân rã luồng logic xác thực mã OTP khi đăng ký tài khoản bệnh nhân</t>
  </si>
  <si>
    <t>- ROLE: Senior Security Architect.
- CONTEXT: Designing user registration for a Dermatology Clinic System (SWP391).
- TASK: Analyze and break down the complete backend workflow for registering a user followed by a 6-digit OTP email verification. Detail all validation checkpoints.
- FORMAT: Step-by-step logic list.
- EXAMPLES: Describe state transitions between PENDING and ACTIVE.</t>
  </si>
  <si>
    <t>AI phân tích luồng gồm 4 bước đơn giản: 1. Nhận thông tin đăng ký -&gt; Lưu tạm vào DB; 2. Sinh mã OTP ngẫu nhiên -&gt; Gửi mail; 3. User nhập OTP -&gt; So khớp; 4. Nếu khớp -&gt; Kích hoạt trạng thái Active.</t>
  </si>
  <si>
    <t>Critical Thinking: Gợi ý của AI quá sơ sài và tuyến tính. AI hoàn toàn bỏ qua việc kiểm tra cửa sổ thời gian hết hạn (Expiration window) và giới hạn số lần nhập sai tối đa (Brute-force protection), tạo lỗ hổng bảo mật nghiêm trọng.
Contextualization: Hệ thống quản lý y tế bắt buộc phải ngăn chặn việc kẻ xấu sử dụng script/tool để spam hoặc mò mã OTP liên tục nhằm phá hoại cơ sở dữ liệu phòng khám.
Creative Synthesis: Tôi đã cấu trúc lại luồng logic phức tạp hơn: Lưu mã OTP đính kèm thời gian sinh (`created_at`), thời hạn hiệu lực (2 phút) và số lần thử sai (`failed_attempts` khởi tạo = 0). Khi người dùng nhập, kiểm tra thời gian trước, nếu mã sai thì tăng biến đếm lên 1. Vượt quá 5 lần sẽ vô hiệu hóa hoàn toàn phiên OTP đó.
Decision: Triển khai bộ luật kiểm soát trạng thái OTP chặt chẽ vào tầng Java Backend Service.</t>
  </si>
  <si>
    <t>Mã nguồn OTP Service</t>
  </si>
  <si>
    <t>Thiết kế cấu trúc giao diện Dashboard đa tác nhân (Multi-actor UI Shell)</t>
  </si>
  <si>
    <t>I'm building a web system for a dermatology clinic for my SWP391 project. The system has 4 roles: Admin, Doctor, Receptionist, and Technician. Can you write a Sidebar layout component using React and Tailwind CSS that dynamically hides/shows menu items depending on the logged-in user's role? Keep the code as clean and modular as possible, thanks!</t>
  </si>
  <si>
    <t>AI cung cấp mã nguồn tạo 4 file Dashboard hoàn toàn riêng biệt tách rời cho từng vai trò, mỗi file tự dựng lại Sidebar, Header và các khối biểu đồ nội dung độc lập.</t>
  </si>
  <si>
    <t>Critical Thinking: Đề xuất tạo 4 file Dashboard độc lập của AI vi phạm nghiêm trọng quy tắc tái sử dụng mã nguồn (DRY principle). Nếu sau này cần thay đổi logo Sidebar hoặc thông tin Header chung, tôi sẽ phải sửa thủ công ở cả 4 vị trí khác nhau, dễ gây lỗi đồng bộ UI.
Contextualization: Nhóm phát triển có nhân lực mỏng, tiến độ đồ án SWP391 cần tối ưu hóa lượng mã nguồn viết ra để tập trung fix business logic.
Creative Synthesis: Tôi áp dụng mẫu thiết kế UI Shell Pattern. Tôi xây dựng một Layout chung duy nhất mang tên `DashboardLayout` bọc Sidebar và Header cố định. Danh mục các tính năng trên Sidebar sẽ được truyền vào thông qua một mảng cấu hình `menuItems` động được lọc tự động dựa trên biến `user.role` từ JWT Context.
Decision: Chốt phương án thiết kế Dashboard tập trung bằng cơ chế Dynamic Routing UI Layout Wrapper.</t>
  </si>
  <si>
    <t>Giao diện Dashboard Shell</t>
  </si>
  <si>
    <t>Phân rã bố cục nội dung trên Dashboard chuyên nghiệp của Bác sĩ da liễu</t>
  </si>
  <si>
    <t>Suggest the layout grid components and columns for a Dermatologist Doctor dashboard viewport using Tailwind grid classes. What metrics and widgets should be shown on the home panel?</t>
  </si>
  <si>
    <t>AI gợi ý chia bố cục Dashboard bác sĩ thành các khối mang tính quản trị: Tổng doanh thu cá nhân, Biểu đồ thống kê số ca bệnh trong tháng, Danh sách toàn bộ bệnh nhân của hệ thống phòng khám.</t>
  </si>
  <si>
    <t>Critical Thinking: Gợi ý của AI đi sai tâm điểm nghiệp vụ lâm sàng của Bác sĩ. Bác sĩ tại phòng khám không quan tâm đến biểu đồ doanh thu tổng mà cần tập trung cao độ vào công tác chuyên môn khám chữa bệnh tại chỗ.
Contextualization: Bác sĩ cần biết ngay lập tức ca khám tiếp theo đang đợi ở cửa phòng là ai và kết quả chẩn đoán hình ảnh sơ bộ của AI soi da ra sao để chuẩn bị phác đồ.
Creative Synthesis: Tôi loại bỏ các widget doanh thu, phân rã lại lưới màn hình thành 3 phân vùng trọng điểm chuyên môn: 1. Live Waiting Queue Grid (Hàng chờ thời gian thực); 2. Current Patient Information Panel (Thông tin ca đang khám kèm ảnh phân tích soi da); 3. Quick Medical Note &amp; Prescription Shortcut.
Decision: Chốt bố cục Dashboard bác sĩ tập trung 100% vào hỗ trợ hoạt động lâm sàng y tế.</t>
  </si>
  <si>
    <t>Figma Doctor Dashboard</t>
  </si>
  <si>
    <t>Thuật toán đồng bộ trạng thái hàng chờ y tế thời gian thực hiển thị trên Dashboard Lễ tân và Bác sĩ</t>
  </si>
  <si>
    <t>How can I synchronize the active patient waiting queue between the Receptionist's dashboard (who handles check-ins) and the Doctor's dashboard inside the room in real-time? I am thinking of using AJAX short-polling every 2 seconds to fetch the API and query the database. Is it a good idea, or is there a better alternative for a web app?</t>
  </si>
  <si>
    <t>AI khuyên nên sử dụng giải pháp Ajax Short-Polling vì nó dễ lập trình nhất đối với sinh viên, frontend cứ định kỳ mỗi 2 giây gửi request ngầm gọi xuống database để lấy lại danh sách hàng chờ mới nhất.</t>
  </si>
  <si>
    <t>Critical Thinking: Giải pháp Short-Polling của AI cực kỳ lỗi thời. Với tần suất gửi request liên tục từ hàng chục máy trạm của lễ tân và bác sĩ song song, hệ quản trị database sẽ bị vắt kiệt tài nguyên xử lý câu lệnh select, gây nghẽn và treo hệ thống khi phòng khám đông.
Contextualization: Hệ thống chạy trên máy chủ thử nghiệm giới hạn tài nguyên phần cứng, cần tiết kiệm băng thông và CPU.
Creative Synthesis: Tôi bác bỏ ý kiến của AI, chuyển sang áp dụng kiến trúc Event-Driven kết hợp giải pháp Server-Sent Events (SSE) nhẹ nhàng hơn WebSockets. Khi lễ tân đổi trạng thái bệnh nhân sang 'Đang chờ', Backend kích hoạt một Event và đẩy (Push) một gói tin duy nhất xuống Dashboard bác sĩ qua luồng kết nối duy trì sẵn.
Decision: Triển khai cơ chế đồng bộ dữ liệu hàng chờ y tế bằng Server-Sent Events (SSE) tối ưu.</t>
  </si>
  <si>
    <t>Mã nguồn SSE Controller</t>
  </si>
  <si>
    <t>Áp dụng cơ chế bảo mật định tuyến (Route Guard Pattern) để bảo vệ giao diện Dashboard Admin</t>
  </si>
  <si>
    <t>- ROLE: Next.js Security Specialist.
- CONTEXT: Securing administrative dashboard sub-routes like `/admin/*` in our Next.js frontend application.
- TASK: Provide a clean route guard implementation to check the authenticated user's role from the JWT token and prevent unauthorized access.
- FORMAT: Concise code snippet with architecture explanation.</t>
  </si>
  <si>
    <t>AI cung cấp đoạn code check điều kiện kiểm tra `if (role !== 'ADMIN')` ngay tại hàm `useEffect` ở tầng client-side của trang admin để kích hoạt chuyển hướng trang (client redirect).</t>
  </si>
  <si>
    <t>Critical Thinking: Bảo mật tại tầng client-side bằng `useEffect` là quá muộn và không an toàn. Giao diện trang Admin nhạy cảm đã kịp tải xuống trình duyệt trước khi client chạy code redirect, hacker có thể dễ dàng dùng tool chặn thực thi JavaScript để xem trộm bố cục.
Contextualization: Dữ liệu nhân sự và doanh thu trên Dashboard Admin yêu cầu mức độ bảo mật tầng cao nhất.
Creative Synthesis: Tôi triển khai giải pháp Route Guard tại tầng trung gian ứng dụng (Middleware Pattern). Sử dụng Next.js Middleware để chặn và kiểm tra token/role của request ngay từ server-side, nếu không có quyền Admin sẽ lập tức trả về trang lỗi 403 trước khi render bất kỳ pixel giao diện nào.
Decision: Ứng dụng Middleware Route Guard để bảo vệ tuyệt đối các trang Dashboard đặc quyền.</t>
  </si>
  <si>
    <t>Mã nguồn middleware.ts</t>
  </si>
  <si>
    <t>Trừu tượng hóa mô hình dữ liệu đếm trạng thái (Metric Counter DTO) cho Dashboard của Kỹ thuật viên</t>
  </si>
  <si>
    <t>What kind of data fields should the REST API return to feed the main home dashboard of a lab technician in a dermatology clinic system? Should I load the entire historical list of old tests along with full patient medical records, or should I aggregate it somehow into simple counters?</t>
  </si>
  <si>
    <t>AI thiết kế một cấu trúc API phức tạp lồng nhau trả về toàn bộ chi tiết thông tin của tất cả máy móc, thông tin chi tiết từng ca xét nghiệm da liễu đang diễn ra.</t>
  </si>
  <si>
    <t>Critical Thinking: Màn hình trang chủ Dashboard của Kỹ thuật viên ở quầy điều phối chỉ cần các con số thống kê tổng hợp nhanh (Metrics Overview) để bao quát công việc, việc trả về danh sách chi tiết chi tiết gây lãng phí băng thông mạng vô ích.
Contextualization: Kỹ thuật viên cần thao tác rất nhanh trên màn hình máy tính bảng khi đang bận hỗ trợ bác sĩ làm xét nghiệm lâm sàng.
Creative Synthesis: Tôi trừu tượng hóa mô hình dữ liệu thành một Data Transfer Object (DTO) tinh gọn mang tên `TechDashboardMetrics` chỉ chứa các trường số nguyên đại diện: `pending_tests_count`, `completed_today_count`, và `active_devices_count`.
Decision: Chuẩn hóa API Dashboard bằng mô hình trừu tượng hóa dữ liệu số liệu tinh gọn thông qua Data Transfer Object.</t>
  </si>
  <si>
    <t>Mã nguồn TechMetricsDTO.java</t>
  </si>
  <si>
    <t>Phân rã luồng nghiệp vụ khám bệnh lâm sàng của Bác sĩ tại phòng khám</t>
  </si>
  <si>
    <t>Help me break down the logical workflow inside a Doctor's consultation session for a dermatology clinic system. The doctor needs to review AI skin analysis drafts, create a diagnosis, build a treatment plan, order medical procedures/lab tests, and issue an electronic prescription.</t>
  </si>
  <si>
    <t>AI gợi ý phân rã luồng khám bệnh thành 5 bước tuần tự: 1. Xem hồ sơ y tế &amp; ảnh AI soi da; 2. Nhập kết luận chẩn đoán; 3. Tạo phác đồ điều trị; 4. Thêm các chỉ định xét nghiệm nếu cần; 5. Kê đơn thuốc điện tử và bấm nút hoàn tất ca khám.</t>
  </si>
  <si>
    <t>Critical Thinking: Luồng xử lý tuần tự mà AI đưa ra quá cứng nhắc và xa rời thực tế lâm sàng. Trong thực tế, bác sĩ thường chỉ định xét nghiệm cận lâm sàng (như soi tươi nấm da, xét nghiệm máu) TRƯỚC KHI đưa ra chẩn đoán xác định và kê đơn thuốc.
Contextualization: Quy trình hoạt động của phòng khám y tế bắt buộc phải có bước ngắt quãng giữa chừng để chờ kết quả từ phòng xét nghiệm/kỹ thuật viên, không thể bắt bác sĩ làm một lèo từ đầu đến cuối ca.
Creative Synthesis: Tôi đã phân rã lại luồng thành hai giai đoạn độc lập: Giai đoạn 1 (Khám sơ bộ): Bác sĩ xem ảnh AI soi da -&gt; đưa ra chẩn đoán sơ bộ -&gt; tạo lệnh chỉ định cận lâm sàng (Lab Orders) -&gt; treo trạng thái ca khám thành 'PENDING_LAB'. Giai đoạn 2 (Kết luận): Kỹ thuật viên trả kết quả xét nghiệm lên hệ thống -&gt; Bác sĩ nhận thông báo -&gt; Đọc kết quả xét nghiệm -&gt; Đưa ra chẩn đoán cuối cùng -&gt; Kê đơn thuốc (Prescription) -&gt; Chuyển trạng thái ca khám thành 'COMPLETED'.
Decision: Cấu trúc lại State Machine quản lý ca khám của bác sĩ thành mô hình bất đồng bộ có trạng thái treo chờ kết quả cận lâm sàng.</t>
  </si>
  <si>
    <t>Mã nguồn ConsultationService.java</t>
  </si>
  <si>
    <t>Phân rã cấu trúc các câu lệnh truy vấn dữ liệu (Repository Queries) để load lịch sử bệnh án tối ưu</t>
  </si>
  <si>
    <t>- ROLE: Database Performance Engineer.
- CONTEXT: Spring Boot 3.x backend connected to MySQL DB for a clinic app. The `MedicalRecord` entity is mapped with lazy-loaded collections of prescriptions, lab results, and skin images.
- TASK: Decompose and formulate the optimal repository query methods to pull the patient's complete history profile for the Doctor viewport without triggering the N+1 select problem.
- FORMAT: Spring Data JPA Repository interface definitions.
- EXAMPLES: Use `@Query` with fetch joins to fetch child records eagerly in a single database round-trip.</t>
  </si>
  <si>
    <t>AI cung cấp giải pháp sử dụng phương thức built-in `findAllByPatientId()` thông thường của Spring Data JPA, đồng thời khuyên bật thuộc tính FetchType.EAGER cho toàn bộ các quan hệ collection con trong Entity class.</t>
  </si>
  <si>
    <t>Critical Thinking: Bật thuộc tính FetchType.EAGER cho tất cả các collection con là một sai lầm nghiêm trọng về kiến trúc dữ liệu. Nó sẽ làm chậm toàn bộ các chức năng khác khi chỉ cần gọi thông tin hành chính đơn giản, gây ra hiện tượng lãng phí bộ nhớ RAM và dính lỗi MultipleBagFetchException của Hibernate.
Contextualization: Dự án SWP391 yêu cầu tối ưu hóa tốc độ load màn hình của bác sĩ khi mở hồ sơ bệnh án để tránh việc bác sĩ phải ngồi đợi giao diện xoay vòng vòng.
Creative Synthesis: Tôi giữ nguyên toàn bộ FetchType.LAZY mặc định ở các lớp Entity để bảo toàn cấu trúc mỏng. Riêng tại phân hệ Repository dành cho bác sĩ, tôi tự tay viết câu lệnh JPQL tùy chỉnh sử dụng từ khóa `JOIN FETCH` lồng nhau: `@Query("SELECT m FROM MedicalRecord m LEFT JOIN FETCH m.prescriptions LEFT JOIN FETCH m.labResults WHERE m.patient.id = :id")` nhằm bóc tách và gom toàn bộ dữ liệu con về trong duy nhất 1 câu lệnh Select native.
Decision: Ứng dụng giải pháp Explicit Fetch Joining tại tầng Repository để tối ưu hóa hiệu năng truy vấn dữ liệu lâm sàng.</t>
  </si>
  <si>
    <t>Mã nguồn MedicalRecordRepository.java</t>
  </si>
  <si>
    <t>Áp dụng mẫu thiết kế để đồng bộ đơn thuốc bác sĩ kê với số lượng tồn kho tại Phân hệ Dược (Pharmacy Inventory)</t>
  </si>
  <si>
    <t>When a doctor issues a prescription and saves the consultation, how should I handle updating the stock quantity in the Medicine table? Should I just write a direct update script inside the consultation save method?</t>
  </si>
  <si>
    <t>AI khuyên nên viết trực tiếp câu lệnh cập nhật giảm số lượng tồn kho thuốc (`UPDATE Medicine SET stock = stock - quantity`) lồng ngay bên trong phương thức `saveConsultation` của lớp nghiệp vụ y tế.</t>
  </si>
  <si>
    <t>Critical Thinking: Việc lồng trực tiếp logic quản lý kho thuốc vào hàm khám bệnh lâm sàng làm vi phạm nghiêm trọng nguyên lý Đơn nhiệm (Single Responsibility Principle - chữ S trong SOLID). Điều này tạo ra sự liên kết chặt (Tight Coupling) giữa module khám bệnh của Bác sĩ và module Dược (Pharmacy), khiến mã nguồn cực kỳ khó bảo trì, kiểm thử độc lập.
Contextualization: Hệ thống phòng khám có sự tách biệt rõ rệt về mặt nghiệp vụ giữa việc kê đơn của bác sĩ và việc cấp phát thuốc vật lý thực tế tại quầy dược sau khi bệnh nhân thanh toán hóa đơn.
Creative Synthesis: Nhận diện mẫu thiết kế hướng sự kiện (Observer / Event-Driven Pattern), tôi tách rời hoàn toàn hai nghiệp vụ này. Tại hàm lưu đơn thuốc của bác sĩ, hệ thống chỉ lưu bản ghi ở trạng thái 'PENDING_PAYMENT' và phát ra một sự kiện ứng dụng `PrescriptionIssuedEvent`. Phân hệ Dược sẽ có một Listener lắng nghe, khi hóa đơn được lễ tân xác nhận thanh toán, Listener mới kích hoạt cập nhật trừ kho thuốc một cách bất đồng bộ.
Decision: Áp dụng Pattern Event-Driven để phân tách hoàn toàn module Khám bệnh và module Quản lý kho thuốc.</t>
  </si>
  <si>
    <t>Mã nguồn Event Publisher &amp; Listener</t>
  </si>
  <si>
    <t>Áp dụng cơ chế kiểm soát tranh chấp dữ liệu (Concurrency Control Pattern) khi nhiều bác sĩ cùng truy cập và chỉnh sửa một hồ sơ bệnh án</t>
  </si>
  <si>
    <t>- ROLE: Senior Backend Architect.
- CONTEXT: A busy dermatology clinic where multiple doctors or technicians might attempt to modify or add clinical notes to the same active `MedicalRecord` entity concurrently.
- TASK: Design a database concurrency mechanism to prevent lost updates and maintain absolute clinical data integrity.
- FORMAT: Detailed technical approach summary.
- EXAMPLES: Compare Optimistic Locking using version fields against Pessimistic Locking mechanisms.</t>
  </si>
  <si>
    <t>AI đề xuất sử dụng cơ chế Pessimistic Locking (Khóa bi quan) bằng cách đẩy câu lệnh `SELECT ... FOR UPDATE` xuống MySQL, khóa chặt hàng dữ liệu hồ sơ lại ngay khi có một bác sĩ bấm vào xem.</t>
  </si>
  <si>
    <t>Critical Thinking: Sử dụng Khóa bi quan (Pessimistic Lock) sẽ làm giảm nghiêm trọng khả năng xử lý đồng thời của hệ thống. Khi một bác sĩ đang mở hồ sơ của bệnh nhân để nghiên cứu rất lâu, toàn bộ các lễ tân hoặc kỹ thuật viên khác sẽ bị chặn đứng (block), không thể đọc hoặc cập nhật bất kỳ thông tin hành chính nào liên quan đến bệnh nhân đó, dễ dẫn đến hiện tượng treo kết nối (Connection Timeout).
Contextualization: Đặc thù phòng khám da liễu có luồng vận hành song song: Bác sĩ đang khám lâm sàng trong khi kỹ thuật viên cập nhật ảnh soi da cận lâm sàng vào cùng một hồ sơ.
Creative Synthesis: Đối chiếu giải pháp với Gemini, tôi nhận diện mẫu Khóa lạc quan (Optimistic Locking Pattern) là tối ưu nhất cho bối cảnh này. Tôi thêm một trường `@Version private Long version;` vào lớp Entity `MedicalRecord`. Khi có tranh chấp ghi dữ liệu xảy ra, hệ thống sẽ kiểm tra số hiệu phiên bản, bác sĩ nào lưu sau sẽ bị từ chối và nhận thông báo yêu cầu tải lại dữ liệu mới nhất chứ không khóa luồng đọc của người khác.
Decision: Triển khai mô hình Khóa lạc quan (Optimistic Locking) bằng Hibernate Versioning để bảo vệ dữ liệu bệnh án.</t>
  </si>
  <si>
    <t>Lớp đối tượng MedicalRecord Entity với trường @Version</t>
  </si>
  <si>
    <t>Trừu tượng hóa mô hình quan hệ đa hình của các Lệnh y khoa (Medical Orders) trong cơ sở dữ liệu Spring Data JPA</t>
  </si>
  <si>
    <t>In the database, a Doctor can issue a Medical Order, which could be either a Lab Test (e.g., blood test) or a Treatment Procedure (e.g., laser surgery). How do I model this inheritance relationship cleanly in Spring Data JPA and MySQL?</t>
  </si>
  <si>
    <t>AI gợi ý tạo hai bảng dữ liệu hoàn toàn độc lập và không có mối liên kết nào là `Lab_Tests` và `Treatment_Procedures`, bác sĩ muốn kê cái nào thì gọi xuống bảng đó.</t>
  </si>
  <si>
    <t>Critical Thinking: Thiết kế hai bảng độc lập làm mất đi tính kế thừa và trừu tượng hóa của đối tượng (Inheritance Abstraction). Hệ thống sẽ không thể quản lý một danh sách tổng hợp các chỉ định y khoa của một ca khám, gây khó khăn cho module Thanh toán (Billing) khi cần quét qua tất cả các lệnh bác sĩ kê để tính tiền hóa đơn tổng.
Contextualization: Lễ tân tại phòng khám cần một luồng xử lý hóa đơn đồng bộ, chỉ cần gọi một API duy nhất là ra toàn bộ số tiền chỉ định y khoa của bác sĩ.
Creative Synthesis: Tôi trừu tượng hóa mối quan hệ này bằng chiến lược kế thừa cơ sở dữ liệu `InheritanceStrategy.JOINED` trong JPA. Tạo một lớp trừu tượng gốc là `MedicalOrder` chứa các trường chung (`order_id`, `consultation_id`, `price`, `status`). Sau đó tạo hai lớp con cụ thể là `LabTestOrder` và `ProcedureOrder` kế thừa từ lớp gốc, ánh xạ thành các bảng con tương ứng liên kết qua khóa chính. Phân hệ Billing chỉ cần gọi bảng gốc `MedicalOrder` là lấy được toàn bộ danh mục tính tiền.
Decision: Chuẩn hóa kiến trúc dữ liệu chỉ định y khoa bằng mô hình Trừu tượng hóa Kế thừa (Joined Table Inheritance Strategy).</t>
  </si>
  <si>
    <t>Mã nguồn Abstract Class MedicalOrder.java</t>
  </si>
  <si>
    <t>Thuật toán sắp xếp hiển thị tiến trình điều trị lịch sử của bệnh nhân theo trình tự thời gian lâm sàng</t>
  </si>
  <si>
    <t>Write a Java repository algorithm for the Doctor's dashboard to sort and timeline a patient's historical medical records. Newest records must come first, but records with critical active treatment steps must be pinned to the top regardless of date.</t>
  </si>
  <si>
    <t>AI cung cấp một câu lệnh SQL cơ bản có mệnh đề `ORDER BY record_date DESC` để sắp xếp đơn thuần theo thời gian tuyến tính từ mới nhất đến cũ nhất.</t>
  </si>
  <si>
    <t>Critical Thinking: Thuật toán sắp xếp thô của AI không đáp ứng được yêu cầu nghiệp vụ y tế đặc thù. Một hồ sơ cũ cách đây 2 tuần nhưng chứa một phác đồ điều trị chuyên sâu đang dang dở (ví dụ: liệu trình trị mụn chuyên sâu 5 buổi chưa kết thúc) cần phải được hiển thị nổi bật lên trên để bác sĩ theo dõi sát sao, không được phép để nó bị trôi xuống dưới theo mốc thời gian thuần túy.
Contextualization: Bác sĩ da liễu cần nắm bắt ngay các liệu trình dài kỳ đang active của bệnh nhân khi họ quay lại tái khám.
Creative Synthesis: Tôi tự phát triển thuật toán sắp xếp đa tầng (Multi-level sorting algorithm) trực tiếp bằng câu lệnh JPQL. Sử dụng biểu thức điều kiện `CASE WHEN` để phân chia trọng số độ ưu tiên: `@Query("SELECT m FROM MedicalRecord m WHERE m.patient.id = :id ORDER BY CASE WHEN m.treatmentStatus = 'ACTIVE_ONGOING' THEN 0 ELSE 1 END ASC, m.recordDate DESC")`. Thuật toán này ép các bệnh án có phác đồ đang chạy lên vị trí ghim hàng đầu, sau đó mới xếp các ca khác theo thời gian giảm dần.
Decision: Áp dụng thuật toán sắp xếp trọng số điều kiện tại tầng cơ sở dữ liệu để tối ưu hóa màn hình dòng thời gian bệnh án của bác sĩ.</t>
  </si>
  <si>
    <t>Mã nguồn Custom Query Method</t>
  </si>
  <si>
    <t>Phân rã luồng truyền nhận dữ liệu kết quả xét nghiệm thời gian thực giữa Bác sĩ và Kỹ thuật viên</t>
  </si>
  <si>
    <t>How should I break down the real-time data workflow between a Dermatologist and a Lab Technician when a skin biopsy or specialized test is ordered? The technician needs to process the order, upload findings, and immediately alert the doctor's active dashboard sub-view.</t>
  </si>
  <si>
    <t>AI gợi ý phân rã luồng dữ liệu thành các bước: Bác sĩ gửi y lệnh lưu vào DB -&gt; Kỹ thuật viên nhận thông báo danh sách hàng chờ -&gt; Kỹ thuật viên upload kết quả xét nghiệm mẫu da -&gt; Hệ thống tự động bắn tín hiệu refresh toàn bộ trang của bác sĩ.</t>
  </si>
  <si>
    <t>Critical Thinking: Cách phân rã luồng của AI ép buộc refresh toàn bộ trang Dashboard (Hard Refresh) của bác sĩ là một phương án tồi tệ cho trải nghiệm UI/UX. Việc này làm mất các dữ liệu văn bản lâm sàng bác sĩ đang gõ dở trên form khám hiện tại.
Contextualization: Giao diện phòng khám da liễu cần sự liên tục tối đa, bác sĩ không được bị gián đoạn hay mất dữ liệu form khi có kết quả cận lâm sàng của bệnh nhân khác gửi về.
Creative Synthesis: Tôi đã phân rã lại luồng dữ liệu: Tách biệt form gõ khám bệnh lâm sàng và phân hệ Notification Inbox mini ở góc Header. Khi kỹ thuật viên lưu kết quả xét nghiệm, Backend chỉ phát ra một tín hiệu WebSocket/SSE ngắn cập nhật số lượng badge thông báo đỏ trên thanh tiêu đề của bác sĩ, cho phép bác sĩ chủ động bấm vào nạp (lazy-load) kết quả khi rảnh.
Decision: Cấu trúc cơ chế nạp dữ liệu bất đồng bộ cô lập (Isolated Reactive Notification Flow) để bảo toàn trạng thái form cho Bác sĩ.</t>
  </si>
  <si>
    <t>Mã nguồn TechHandoffService.java</t>
  </si>
  <si>
    <t>Phân rã cấu trúc mã nguồn CSS trên Landing Page để hiện thực hóa hiệu ứng kính mờ (Glassmorphism) và Liquid Glass siêu mịn</t>
  </si>
  <si>
    <t>- ROLE: UI/UX Frontend Architect.
- CONTEXT: Designing a premium Next.js landing page for a modern dermatology clinic. We need a fluid 'Liquid Glass' card background style with moving gradients and multi-layered backdrop blurs.
- TASK: Decompose the CSS layer properties and Tailwind classes required to achieve a realistic liquid glassomorphic layout that remains hardware-accelerated and smooth.
- FORMAT: Tailwind code configuration with inline architectural design documentation.
- EXAMPLES: Utilize combined layers of opacity fills, custom blur radius, border strokes, and keyframe fluid background animations.</t>
  </si>
  <si>
    <t>AI cung cấp một đoạn mã CSS khổng lồ lồng ghép nhiều lớp div phức tạp, sử dụng các thuộc tính `filter: blur()` cực nặng đè lên nhau kèm các hình nền gradient chuyển động phức tạp.</t>
  </si>
  <si>
    <t>Critical Thinking: Giải pháp lồng ghép nhiều thuộc tính filter blur của AI sẽ gây ra thảm họa tụt khung hình (FPS drop) nghiêm trọng khi cuộn trang. Thuộc tính `filter` thô bắt trình duyệt ép CPU tính toán lại pixel liên tục thay vì tận dụng GPU, làm nóng máy người dùng khi lướt Landing Page.
Contextualization: Landing page là bộ mặt của phòng khám, cần phải đạt điểm hiệu năng tối đa (Lighthouse Score &gt;= 95) trên cả các thiết bị di động cấu hình thấp.
Creative Synthesis: Tôi tinh gọn và phân rã lại các tầng CSS theo chuẩn tối ưu GPU: Loại bỏ bộ lọc filter thô trên lớp div cha, chuyển sang dùng thuộc tính phần cứng native `backdrop-filter: blur(16px);` phối hợp với một lớp màu nền bán trong suốt `bg-white/70`. Hiệu ứng dòng chảy lỏng (Liquid Glass) được tôi tối ưu bằng cách di chuyển vị trí `background-position` của một ảnh SVG mịn thông qua thuộc tính tăng tốc phần cứng `transform: translate3d()`.
Decision: Thiết lập bộ khung CSS Glassmorphic tinh gọn, ép hệ thống render bằng phần cứng GPU để bảo toàn 60 FPS khi cuộn trang.</t>
  </si>
  <si>
    <t>Mã nguồn LandingPage.tsx</t>
  </si>
  <si>
    <t>Áp dụng UI Design Pattern phù hợp cho màn hình quản lý danh sách hàng chờ xét nghiệm của Kỹ thuật viên</t>
  </si>
  <si>
    <t>What UI design pattern is best for a Lab Technician dashboard managing multiple ongoing skin test queues? Should I use a standard list view, a grid cards container, or a Kanban-board style pattern to map status changes (PENDING, PROCESSING, DONE)?</t>
  </si>
  <si>
    <t>AI đề xuất thiết kế giao diện theo mẫu bảng dữ liệu dạng lưới thông thường (Standard Data Grid List) kèm các nút bấm đổi trạng thái (Dropdown Action Button) ở cuối mỗi hàng.</t>
  </si>
  <si>
    <t>Critical Thinking: Mẫu thiết kế danh sách phẳng (Flat List) của AI gây khó khăn lớn cho kỹ thuật viên trong việc bao quát tiến độ tổng thể của phòng xét nghiệm da liễu. Kỹ thuật viên y tế thao tác liên tục bằng găng tay y tế, việc click chọn dropdown nhỏ xíu rất dễ bị bấm nhầm hàng dữ liệu.
Contextualization: Môi trường phòng xét nghiệm da liễu đòi hỏi kỹ thuật viên phải nhận biết nhanh trạng thái tải công việc của các máy soi da, máy laser để điều phối mẫu vật lập tức.
Creative Synthesis: Tôi rà soát mẫu thiết kế và áp dụng **Kanban Board UI Pattern**. Phân chia màn hình thành 3 cột trạng thái trực quan rõ ràng. Mỗi ca xét nghiệm được mô hình hóa thành một card lớn có phong cách Liquid Glass mờ sang trọng, hiển thị đầy đủ thông tin cốt lõi (Tên bệnh nhân, loại xét nghiệm, bác sĩ chỉ định). Kỹ thuật viên chỉ cần thao tác chạm kéo thả (Drag-and-Drop) card cực kỳ nhanh chóng và chính xác.
Decision: Chốt kiến trúc UI Kanban Pattern cho Dashboard Kỹ thuật viên để tối ưu hóa tốc độ vận hành lâm sàng.</t>
  </si>
  <si>
    <t>Figma Tech Dashboard UI</t>
  </si>
  <si>
    <t>Tái sử dụng mẫu thiết kế thẻ cấu trúc (Structural Card Pattern) đồng bộ phong cách kính mờ xuyên suốt các phân hệ Dashboard</t>
  </si>
  <si>
    <t>- ROLE: Design System Engineer.
- CONTEXT: Standardizing the visual design system across both Doctor and Technician viewports for a clinic application.
- TASK: Create an reusable Atomic Design UI primitive for a clinic dashboard 'Information Card' incorporating the refined glassmorphism theme.
- FORMAT: Reusable React functional component code using Tailwind CSS classes.
- EXAMPLES: Ensure it easily wraps text contents, medical metrics, or data charts consistently.</t>
  </si>
  <si>
    <t>AI cung cấp kịch bản viết các khối card HTML thô lặp đi lặp lại mã nguồn CSS ở mỗi file màn hình khác nhau của Bác sĩ và Kỹ thuật viên một cách thủ công.</t>
  </si>
  <si>
    <t>Critical Thinking: Việc copy-paste mã nguồn CSS thô vi phạm nghiêm trọng tính đồng bộ của Design System. Khi cần điều chỉnh lại độ mờ của kính (blur radius) hoặc màu sắc đường viền stroke theo yêu cầu của khách hàng, nhóm phát triển sẽ phải đi sửa thủ công ở hàng chục file khác nhau.
Contextualization: Dự án SWP391 cần đóng gói giao diện thành các mô-đun sạch để dễ dàng bàn giao và mở rộng thêm các role khác (như Lễ tân, Dược sĩ) ở sprint sau.
Creative Synthesis: Áp dụng **Atomic Design Pattern** ở cấp độ Molecule, tôi bọc toàn bộ thuộc tính Liquid Glass phức tạp vào một React component dùng chung duy nhất mang tên `GlassCard`. Component này nhận các props linh hoạt như `children`, `className`, và `hoverEffect` (boolean) để các thành viên trong nhóm dễ dàng gọi và tái sử dụng ở mọi Dashboard.
Decision: Đóng gói UI thành component `GlassCard` tập trung để bảo toàn tính đồng bộ của ngôn ngữ thiết kế hệ thống.</t>
  </si>
  <si>
    <t>Mã nguồn component GlassCard.tsx</t>
  </si>
  <si>
    <t>Trừu tượng hóa cấu trúc dữ liệu phản hồi thông báo (Notification Payload DTO) thời gian thực kết nối giữa hai phân hệ</t>
  </si>
  <si>
    <t>Design a clean JSON DTO contract for websocket-based real-time notifications sent from Technician to Doctor when a lab test result is ready. Keep it lightweight.</t>
  </si>
  <si>
    <t>AI gợi ý một cấu trúc JSON khổng lồ trả về toàn bộ thực thể hồ sơ y tế, đính kèm thông tin tài khoản nhân sự của kỹ thuật viên cùng chuỗi nhị phân ảnh thô.</t>
  </si>
  <si>
    <t>Critical Thinking: Gói tin thông báo thời gian thực truyền qua WebSocket yêu cầu băng thông tối giản và tốc độ cao. Việc AI nhét toàn bộ object thực thể nặng nề vào payload làm nghẽn đường truyền mạng vô ích và gây ra rủi ro nghiêm trọng về bảo mật thông tin nội bộ.
Contextualization: Hệ thống mạng nội bộ phòng khám cần duy trì hàng trăm kết nối socket đồng thời giữa các phòng ban luôn thông suốt.
Creative Synthesis: Tôi trừu tượng hóa mô hình dữ liệu, thiết kế một lớp DTO tinh gọn mang tên `HandoffNotificationPayload`. Gói tin JSON trả ra chỉ chứa các trường mã hóa trừu tượng cốt lõi: `notificationId` (UUID), `medicalRecordId` (Long), `patientName` (String), `testType` (String), và `timestamp`. Khi bác sĩ nhận được gói tin này, hệ thống mới thực hiện một lệnh gọi API RESTful riêng cô lập để load dữ liệu chi tiết nếu bác sĩ click mở ra.
Decision: Chuẩn hóa API thông báo thời gian thực bằng mô hình trừu tượng hóa dữ liệu payload tối giản.</t>
  </si>
  <si>
    <t>Mã nguồn HandoffNotificationPayload.java</t>
  </si>
  <si>
    <t>Trừu tượng hóa trạng thái vận hành của ca khám bệnh thông qua mô hình Máy trạng thái (State Machine Model)</t>
  </si>
  <si>
    <t>- ROLE: Core Java Backend Architect.
- CONTEXT: Managing the complex state transitions of a patient's clinic visit session as it moves between Doctor exams and Technician lab testings.
- TASK: Abstract and model the session lifecycle states using a clean architectural pattern in Java Spring Boot.
- FORMAT: Enumeration definitions and transition control logic explanation.
- EXAMPLES: Define handling rules for transitions such as: DRAFT -&gt; LAB_PENDING -&gt; LAB_PROCESSING -&gt; LAB_COMPLETED -&gt; FINALIZED.</t>
  </si>
  <si>
    <t>AI gợi ý quản lý trạng thái bằng cách viết các câu lệnh điều kiện `if-else` lồng nhau phức tạp trực tiếp bên trong lớp Database Controller mỗi khi cập nhật dữ liệu.</t>
  </si>
  <si>
    <t>Critical Thinking: Sử dụng `if-else` lồng nhau để quản lý trạng thái luồng đi dữ liệu y tế là cực kỳ nguy hiểm. Nó làm mã nguồn bị rối (Spaghetti code), dễ bỏ sót các trường hợp biên và cho phép các trạng thái nhảy cóc bất hợp lý (ví dụ: một ca chưa được kỹ thuật viên xét nghiệm lại đột ngột nhảy sang trạng thái hoàn tất), phá vỡ logic y khoa.
Contextualization: Đồ án SWP391 cần chứng minh tính đúng đắn và chặt chẽ của luồng nghiệp vụ hệ thống trước hội đồng phản biện.
Creative Synthesis: Tôi áp dụng tính trừu tượng hóa để xây dựng một **Finite State Machine (FSM)** tường minh. Khai báo một Enum tập trung quản lý nghiêm ngặt các trạng thái y tế hợp lệ. Việc chuyển đổi trạng thái bắt buộc phải đi qua một lớp dịch vụ trung gian `ConsultationStateManager` thực hiện kiểm tra điều kiện ràng buộc kỹ lưỡng trước khi lưu xuống database.
Decision: Kiến trúc luồng nghiệp vụ y tế dựa trên mô hình Máy trạng thái trừu tượng tập trung để triệt tiêu bug nhảy trạng thái.</t>
  </si>
  <si>
    <t>Mã nguồn Enum ConsultationState</t>
  </si>
  <si>
    <t>Thuật toán sắp xếp động danh sách công việc của Kỹ thuật viên dựa trên trọng số thời gian chờ và mức độ khẩn cấp lâm sàng</t>
  </si>
  <si>
    <t>Write a Java repository algorithm for the Technician's queue layout to dynamically sort upcoming lab test tasks. It should prioritize critical cases from the doctor first, and then sort by patient waiting duration.</t>
  </si>
  <si>
    <t>AI cung cấp một câu lệnh SQL cơ bản có mệnh đề `ORDER BY checkin_time ASC` để sắp xếp đơn thuần theo thời gian ai đến trước xếp trước tuyến tính.</t>
  </si>
  <si>
    <t>Critical Thinking: Sắp xếp theo thời gian đến trước (FIFO) thuần túy của AI không đáp ứng được yêu cầu cấp thiết của phòng khám da liễu thực tế. Một ca bệnh nhân nghi ngờ nhiễm trùng cấp tính cần xét nghiệm soi tươi gấp để bác sĩ kê đơn bắt buộc phải được đẩy lên đầu hàng đợi, không được bắt họ xếp hàng sau một ca chăm sóc da mụn thông thường.
Contextualization: Bác sĩ có thẩm quyền đánh dấu mức độ khẩn cấp (Urgency Level) của y lệnh trực tiếp từ phòng khám y tế.
Creative Synthesis: Phối hợp đánh giá chéo cùng Gemini, tôi tự tay phát triển thuật toán tính toán điểm trọng số động (Dynamic Weight Scoring Algorithm) ngay trong câu lệnh truy vấn JPA. Sử dụng biểu thức toán học tính điểm ưu tiên: Trọng số = (Mức độ khẩn cấp của bác sĩ * 100) + (Số phút bệnh nhân đã phải ngồi chờ đợi). Câu lệnh JPQL sẽ thực hiện `ORDER BY (t.priorityScore * 100 + TIMESTAMPDIFF(MINUTE, t.createdAt, NOW())) DESC` giúp đẩy các ca khẩn cấp lên vị trí ưu tiên hàng đầu một cách tự động và công bằng.
Decision: Triển khai thuật toán tính điểm trọng số động tại câu lệnh truy vấn cơ sở dữ liệu để tối ưu hóa hàng đợi xét nghiệm.</t>
  </si>
  <si>
    <t>Phân rã luồng tích hợp nghiệp vụ điều phối hàng chờ y tế kết nối giữa Lễ tân và phòng khám Bác sĩ</t>
  </si>
  <si>
    <t>How should I split the data synchronization steps between the Receptionist check-in terminal and the Doctor's room queue? When the receptionist assigns a patient to a doctor, the queue layout must update dynamically on both screens without conflict.</t>
  </si>
  <si>
    <t>AI gợi ý phân rã luồng thành các bước: Lễ tân bấm nút check-in -&gt; backend cập nhật cột trạng thái của hàng đợi -&gt; bắn tín hiệu thông báo chung qua Server-Sent Events -&gt; tất cả máy trạm tự động load lại toàn bộ mảng danh sách từ database.</t>
  </si>
  <si>
    <t>Critical Thinking: Gợi ý đẩy thông báo chung của AI quá thô sơ. Việc bắt tất cả các bác sĩ ở các phòng chuyên khoa khác nhau cùng load lại một mảng danh sách bệnh nhân khổng lồ sẽ gây lãng phí tài nguyên xử lý câu lệnh SQL và làm nghẽn băng thông mạng nội bộ.
Contextualization: Phòng khám da liễu có nhiều phòng khám chuyên khoa độc lập (Khám mụn, khám thẩm mỹ laser), bác sĩ phòng này không cần quan tâm đến biến động hàng chờ của phòng khác.
Creative Synthesis: Tôi đã bóc bóc tách và tinh chỉnh lại luồng dữ liệu: Khi Lễ tân chỉ định bệnh nhân vào một phòng cụ thể, gói tin thông báo SSE sẽ được định tuyến cô lập theo kênh phòng khám (`/topic/queue/room/{roomId}`). Chỉ có Dashboard của bác sĩ tại phòng đó nhận được tín hiệu và thực hiện gọi API lấy duy nhất bản ghi mới đính kèm vào cuối mảng state ở client.
Decision: Triển khai luồng điều phối dữ liệu hàng chờ phân kênh cô lập (Room-Isolated SSE Dispatch Architecture) để bảo toàn hiệu năng mạng.</t>
  </si>
  <si>
    <t>Mã nguồn QueueWebSocketController.java</t>
  </si>
  <si>
    <t>Phân rã và khắc phục lỗi giật lag hiệu ứng kính mờ nâng cao (Liquid Glass/Glassmorphism) trên Landing Page</t>
  </si>
  <si>
    <t>- ROLE: Advanced Frontend Graphics Engineer.
- CONTEXT: Optimizing the Next.js landing page. We implemented a liquid glass effect with complex overlapping cards, but scrolling frames drop heavily on mobile viewports due to multi-layered backdrop filters.
- TASK: Decompose the rendering layers and optimize the Tailwind CSS configuration to achieve buttery smooth 60 FPS scrolling while keeping the blurred glass transparency aesthetics.
- FORMAT: Step-by-step optimization layout framework.
- EXAMPLES: Isolate layout paint layers using specific CSS layout rules like will-change or grid optimizations.</t>
  </si>
  <si>
    <t>AI gợi ý giảm bớt độ mờ từ `backdrop-blur(16px)` xuống còn `backdrop-blur(4px)` để giảm tải cho trình duyệt, đồng thời khuyên loại bỏ bớt các khối thẻ card lỏng di chuyển phía sau hình nền.</t>
  </si>
  <si>
    <t>Critical Thinking: Giải pháp cắt giảm bớt độ mờ và xóa bỏ card lỏng của AI làm phá vỡ hoàn toàn ý đồ thiết kế nghệ thuật cao cấp (Liquid Glass) ban đầu của giao diện Landing Page, khiến trang web trở nên thô cứng, đơn điệu.
Contextualization: Giao diện thẩm mỹ y tế da liễu cần giao diện lung linh, sang trọng để tạo niềm tin cho khách hàng khi vừa truy cập trang chủ.
Creative Synthesis: Tôi phân rã lại cấu trúc render của trình duyệt: Giữ nguyên độ mờ mượt mà, nhưng bọc các khối card lỏng di chuyển phía sau vào một lớp div riêng được áp thuộc tính tăng tốc đồ họa `will-change: transform; transform: translateZ(0);`. Điều này ép trình duyệt tạo ra một lớp Composite Layer độc lập trên GPU, triệt tiêu việc CPU phải vẽ lại (re-paint) bố cục card liên tục khi cuộn trang.
Decision: Áp dụng giải pháp cô lập tầng vẽ CSS (Hardware-Accelerated Layer Isolation) để Landing Page đạt điểm hiệu năng tối đa mượt mà.</t>
  </si>
  <si>
    <t>Mã nguồn tệp styles/glass.css</t>
  </si>
  <si>
    <t>Áp dụng cơ chế hiển thị giao diện có điều kiện (Conditional Component Rendering Pattern) để bảo vệ các chức năng thu ngân nhạy cảm của Lễ tân</t>
  </si>
  <si>
    <t>I have sensitive action components on the Receptionist dashboard, like 'Collect Payment' and 'Print Invoice'. How can I elegantly ensure these buttons are strictly restricted from Doctor or Technician viewports at the UI component level using React patterns?</t>
  </si>
  <si>
    <t>AI đề xuất viết các câu lệnh kiểm tra `if (user.role === 'RECEPTIONIST')` trực tiếp bao quanh thẻ `&lt;button&gt;` ở mọi vị trí cần bảo vệ trên giao diện Dashboard.</t>
  </si>
  <si>
    <t>Critical Thinking: Viết câu lệnh điều kiện rải rác khắp nơi làm vi phạm nguyên lý DRY, tạo ra mã nguồn chắp vá, cực kỳ khó bảo trì và dễ bỏ sót khi hệ thống cập nhật thêm role mới sau này.
Contextualization: Module xử lý hóa đơn, tiền bạc phòng khám yêu cầu kiểm soát chặt chẽ ở cả tầng UI giao diện để tránh rò rỉ chức năng.
Creative Synthesis: Tôi áp dụng mẫu thiết kế bảo vệ UI tập trung bằng **Role-Based Access Control Component Pattern**. Tôi đóng gói một component bảo mật mang tên `SecuredPermission`. Component này nhận vào thuộc tính `allowedRoles={['RECEPTIONIST']}` và bọc xung quanh các nút bấm nhạy cảm. Hệ thống Frontend sẽ kiểm tra tập trung, nếu không khớp quyền sẽ lập tức ẩn hoặc triệt tiêu component con bên trong.
Decision: Chuẩn hóa hệ thống bảo vệ nút bấm giao diện bằng cách ứng dụng Pattern Component bảo mật tập trung.</t>
  </si>
  <si>
    <t>Mã nguồn SecuredPermission.tsx Component</t>
  </si>
  <si>
    <t>Áp dụng thiết kế biểu mẫu nhiều bước (Stateful Multi-step Form Wizard Pattern) cho tính năng Tiếp đón và Check-in bệnh nhân vãng lai</t>
  </si>
  <si>
    <t>The patient check-in form for the Receptionist is getting too long with administrative data, medical history fields, and doctor assignment dropdowns. How can I handle this cleanly in React without losing form state between transitions?</t>
  </si>
  <si>
    <t>AI khuyên nên chia biểu mẫu thành 3 trang HTML/React Router độc lập, và lưu trữ dữ liệu tạm thời của từng bước vào bộ nhớ LocalStorage của trình duyệt.</t>
  </si>
  <si>
    <t>Critical Thinking: Lưu trữ dữ liệu hành chính y tế nhạy cảm của bệnh nhân vào LocalStorage thô là một lỗ hổng bảo mật nghiêm trọng. Hơn nữa, việc chuyển hướng trang qua lại bằng Router làm phát sinh hành vi render lại toàn bộ trang (Full re-render), làm mất tính mượt mà của biểu mẫu tiếp đón.
Contextualization: Lễ tân cần thao tác tiếp đón khách vãng lai cực kỳ nhanh tại quầy, form cần chạy mượt, chuyển bước lập tức và tuyệt đối an toàn dữ liệu.
Creative Synthesis: Tôi áp dụng mẫu thiết kế **Stateful Form Wizard Pattern**. Gom toàn bộ dữ liệu form vào một object state tập trung duy nhất ở component cha. Phân tách giao diện thành 3 component con dạng bước (`Step1Admin`, `Step2History`, `Step3Assign`) xếp lồng lồng nhau, điều khiển hiển thị ẩn/hiện bằng một biến chỉ số `currentStep`. Dữ liệu được lưu trên bộ nhớ RAM an toàn của ứng dụng chứ không đẩy xuống LocalStorage thô.
Decision: Triển khai cấu trúc Stateful Wizard Pattern để quản lý biểu mẫu tiếp đón nhiều bước an toàn, mượt mà.</t>
  </si>
  <si>
    <t>Mã nguồn PatientCheckInWizard.tsx</t>
  </si>
  <si>
    <t>Trừu tượng hóa cấu trúc dữ liệu tổng hợp hóa đơn (Invoice Aggregate DTO) phục vụ tính năng thanh toán của Lễ tân</t>
  </si>
  <si>
    <t>- ROLE: Lead Enterprise API Architect.
- CONTEXT: The Receptionist needs to generate a comprehensive invoice total for a patient. The final bill aggregates clinical consultation fees (from Doctor), laboratory test prices (from Technician), and medicine item totals (from Pharmacy).
- TASK: Abstract and design a unified Data Transfer Object (DTO) schema payload that aggregates these fragmented records into a single clean contract.
- FORMAT: Clean Java DTO class template with a structured JSON representation.
- EXAMPLES: Include list models for items, summary tax mappings, and final grand total fields clearly computed.</t>
  </si>
  <si>
    <t>AI gợi ý API trả về một mảng chứa danh sách thô của cả 3 bảng dữ liệu gốc liên quan, bắt Frontend tự viết các hàm ván dặm, lập trình tính toán cộng trừ nhân chia số tiền trên giao diện.</t>
  </si>
  <si>
    <t>Critical Thinking: Đẩy logic tính toán tiền bạc nhạy cảm về phía Frontend xử lý là một sai lầm chết người về mặt an toàn hệ thống. Người dùng có dụng ý xấu có thể dễ dàng can thiệp công cụ JavaScript tại trình duyệt để sửa đổi con số thành tiền trước khi gửi yêu cầu thanh toán.
Contextualization: Tất cả các phép toán tài chính, hóa đơn tổng hợp bắt buộc phải được tính toán, niêm phong và đóng dấu bảo mật trực tiếp từ tầng Backend Server.
Creative Synthesis: Tôi áp dụng tính trừu tượng hóa để thiết kế một lớp đối tượng tổng hợp dữ liệu `InvoiceAggregateDTO` ở Backend. Lớp này thu gom dữ liệu từ 3 phân hệ, tự động thực hiện các thuật toán cộng tổng tiền, áp thuế, tính chiết khấu trực tiếp trên Java Service và trả về một cấu trúc JSON niêm phong duy nhất chứa trường `grand_total` read-only cho Lễ tân hiển thị.
Decision: Chuẩn hóa dữ liệu thanh toán thông qua cấu trúc lớp trừu tượng InvoiceAggregateDTO tập trung tại Backend.</t>
  </si>
  <si>
    <t>Mã nguồn InvoiceAggregateDTO.java</t>
  </si>
  <si>
    <t>Thuật toán hàng đợi ưu tiên tích hợp cơ chế ngắt luồng thủ công (Priority Queue with Manual Bypass Override) dành cho Lễ tân</t>
  </si>
  <si>
    <t>How do I expand the existing doctor priority queue algorithm to allow the Receptionist to execute a 'Force Insert' command? This occurs when a critical patient or a VIP client arrives, requiring them to bypass the automated weight scores.</t>
  </si>
  <si>
    <t>AI gợi ý sửa thuật toán bằng cách đặt điểm số ưu tiên (`priorityScore`) của bệnh nhân VIP đó thành một con số cực kỳ lớn (ví dụ: 999999) để câu lệnh SQL tự động đẩy họ lên đầu bảng sắp xếp.</t>
  </si>
  <si>
    <t>Critical Thinking: Cách giải quyết đặt số hardcode 999999 của AI quá chắp vá và thiếu tính bền vững. Nếu có hai bệnh nhân VIP cùng đến một lúc, việc cùng mang điểm 999999 sẽ khiến hệ thống bị bất lực, quay về sắp xếp ngẫu nhiên và không thể kiểm soát được thứ tự ưu tiên giữa chính họ.
Contextualization: Lễ tân tại quầy cần quyền điều phối thủ công linh hoạt để xử lý các tình huống y tế khẩn cấp thực tế phát sinh tại chỗ.
Creative Synthesis: Tôi phát triển thuật toán hàng đợi mở rộng tích hợp trường cờ ghi đè hệ thống (`is_bypass_override` kiểu boolean) và trường thứ tự ghi đè (`override_sequence` kiểu integer). Câu lệnh JPQL sắp xếp sẽ ưu tiên tuyệt đối các bản ghi có cờ override trước theo thứ tự tăng dần của trường sequence, sau đó mới xét đến điểm trọng số động của các ca thông thường: `ORDER BY t.isBypassOverride DESC, t.overrideSequence ASC, (t.priorityScore * 100) DESC`.
Decision: Áp dụng thuật toán hàng đợi tích hợp cơ chế ghi đè thủ công có cấu trúc rõ ràng cho module điều phối hàng chờ.</t>
  </si>
  <si>
    <t>Mã nguồn Custom Overriding Query Method</t>
  </si>
  <si>
    <t>Phân rã luồng logic kiểm tra trạng thái kích hoạt và điều kiện áp dụng Voucher giảm giá tại Phân hệ Admin</t>
  </si>
  <si>
    <t>I am refactoring the Voucher Management module in my Java Spring Boot backend for the SWP391 clinic system. Help me break down the verification sequence when a voucher is applied to a bill. Consider usage limits, date windows, patient eligibility criteria, and minimum order values.</t>
  </si>
  <si>
    <t>AI gợi ý phân rã luồng thành một chuỗi kiểm tra tuần tự bằng code Java: Check mã tồn tại -&gt; Check ngày hiệu lực -&gt; Check số lượng còn lại -&gt; Khấu trừ số tiền trực tiếp vào hóa đơn và lưu xuống DB.</t>
  </si>
  <si>
    <t>Critical Thinking: Luồng phân rã của AI quá đơn giản và mắc lỗi nghiêm trọng về kiểm soát concurrency. Việc trừ số lượng voucher cơ bản ngay lập tức khi check thành công mà không bọc trong khối khóa hoặc cô lập giao dịch sẽ dẫn đến lỗi Race Condition khi nhiều hóa đơn được thanh toán cùng một giây, làm thâm hụt số lượng voucher thực tế.
Contextualization: Hệ thống phòng khám da liễu có lượng bệnh nhân thanh toán tại quầy lễ tân tập trung cao độ vào giờ cao điểm, dữ liệu tài chính mã giảm giá yêu cầu tính toàn vẹn tuyệt đối.
Creative Synthesis: Nhờ Gemini phân tích bảo mật, tôi nhận ra ngộ nhận sai lầm ban đầu của mình về cơ chế tự động khóa của JPA. Tôi đã phân rã và thiết kế lại luồng: Việc kiểm tra điều kiện áp dụng voucher được thực hiện read-only để validate UI. Riêng bước khấu trừ số lượng (`current_usage + 1`), tôi chuyển sang viết một câu lệnh Update nguyên tử (Atomic Update) trực tiếp dưới Database sử dụng câu lệnh `WHERE current_usage &lt; max_limit` để chặn đứng lỗi Race Condition mà không cần khóa bi quan nặng nề.
Decision: Cấu trúc lại luồng xử lý Voucher Service kết hợp Atomic Update tại tầng Repository để đảm bảo an toàn tài chính.</t>
  </si>
  <si>
    <t>Mã nguồn VoucherService.java</t>
  </si>
  <si>
    <t>Phân rã cấu trúc giao diện và tối ưu lớp phủ phần cứng (Liquid Glass CSS Layout) cho phân hệ Admin Dashboard</t>
  </si>
  <si>
    <t>- ROLE: Expert UI/UX Engineer.
- CONTEXT: Redesigning the Admin Dashboard for our dermatology clinic platform using Next.js and Tailwind CSS. We want to implement a high-end 'Liquid Glass' theme with moving background blobs and frosted glass tables.
- TASK: Decompose the visual elements and optimize the rendering tree to avoid performance lag on pages that display massive diagnostic analytics data tables.
- FORMAT: Clean Tailwind component layer specifications.
- EXAMPLES: Use explicit isolation layers and backdrop filtering adjustments to reduce GPU render overhead.</t>
  </si>
  <si>
    <t>AI cung cấp một đoạn mã giao diện lồng ghép nhiều thẻ div mờ, áp thuộc tính `backdrop-blur(24px)` trực tiếp lên từng hàng (row) dữ liệu và từng ô (cell) của bảng thống kê doanh thu phòng khám.</t>
  </si>
  <si>
    <t>Critical Thinking: Giải pháp của AI áp bộ lọc mờ trực tiếp lên hàng trăm ô dữ liệu trong bảng thống kê là một thảm họa đồ họa. Trình duyệt sẽ buộc phải kích hoạt thuật toán tính toán độ nhòe (blur matrix computation) cho hàng trăm lớp đồ họa xếp chồng lên nhau khi cuộn trang, làm card đồ họa (GPU) bị quá tải và gây lag giao diện trầm trọng.
Contextualization: Trang Dashboard của Admin chứa rất nhiều biểu đồ doanh thu dạng SVG động và bảng số liệu lớn, cần duy trì tốc độ phản hồi cực nhanh.
Creative Synthesis: Tôi tiến hành phân rã lại cấu trúc UI: Loại bỏ hoàn toàn hiệu ứng blur trên từng ô/hàng dữ liệu của bảng. Thay vào đó, áp dụng thuộc tính kính mờ Liquid Glass duy nhất một lần lên khung bao ngoài của toàn bộ bảng dữ liệu (`.admin-table-container`). Bản thân cái bảng bên trong sẽ giữ nền bán trong suốt đơn thuần (`bg-white/40`) read-only. Các hình nền lỏng di chuyển phía sau được tối ưu qua thuộc tính `contain: paint` để trình duyệt không tính toán lại bố cục bên ngoài.
Decision: Chốt giải pháp bóc tách lớp mờ Liquid Glass tập trung lên khung container để bảo toàn hiệu năng đồ họa 60 FPS cho Admin.</t>
  </si>
  <si>
    <t>Mã nguồn AdminDashboardLayout.tsx</t>
  </si>
  <si>
    <t>Áp dụng mẫu thiết kế (Strategy Pattern) để tích hợp linh hoạt nhiều loại chiến lược giảm giá Voucher vào Phân hệ Lễ tân</t>
  </si>
  <si>
    <t>I need to support three types of discounts in my clinic Billing module: Flat rate deduction (e.g., minus $10), percentage discount (e.g., 15% off skin analysis), and free procedure add-ons. How can I structure this flexibly in Java?</t>
  </si>
  <si>
    <t>AI gợi ý tạo một bảng `Vouchers` có cột `discount_type` (1, 2, 3), sau đó viết một cấu trúc lệnh `switch-case` khổng lồ dài hàng trăm dòng bên trong hàm tính tiền của Lễ tân để xử lý logic toán học tương ứng cho từng loại.</t>
  </si>
  <si>
    <t>Critical Thinking: Sử dụng cấu trúc lệnh `switch-case` lồng nhau phá vỡ hoàn toàn nguyên lý Mở/Đóng (Open-Closed Principle - chữ O trong SOLID). Khi phòng khám có nhu cầu thêm một chiến lược ưu đãi mới (ví dụ: giảm giá theo nhóm gói dịch vụ y tế), tôi sẽ phải đập code hàm cũ ra để sửa đổi, tăng nguy cơ phát sinh lỗi tính sai tiền hóa đơn của bệnh nhân.
Contextualization: Hệ thống quản lý tài chính phòng khám y tế yêu cầu tính bền vững và khả năng mở rộng liên tục các chiến dịch marketing mà không làm xáo trộn luồng thanh toán cốt lõi.
Creative Synthesis: Nhận diện mẫu thiết kế hành vi, tôi áp dụng **Strategy Pattern**. Thiết lập một interface trừu tượng `IDiscountStrategy` với phương thức `calculateDiscount(Invoice invoice)`. Sau đó viết các lớp cụ thể hiện thực độc lập: `FlatRateStrategy`, `PercentageStrategy`, và `BundleProcedureStrategy`. Lớp Voucher Service chỉ cần gọi hàm qua interface, loại bỏ hoàn toàn các lệnh rườm rà. Nhờ ChatGPT sinh kịch bản Unit Test trong Codex, tôi đã verify toàn bộ các testcase tính toán tiền bạc này chạy chính xác 100%.
Decision: Triển khai kiến trúc xử lý mã giảm giá dựa trên mẫu Strategy Pattern để tối ưu hóa khả năng mở rộng phân hệ Billing.</t>
  </si>
  <si>
    <t>Lớp Interface IDiscountStrategy.java</t>
  </si>
  <si>
    <t>Áp dụng cơ chế kiểm tra chéo bảo mật (Dual-Authorization State Pattern) cho luồng duyệt và ký phác đồ điều trị giữa Bác sĩ và Kỹ thuật viên</t>
  </si>
  <si>
    <t>Formulate a secure workflow pattern where a Lab Technician uploads skin biopsy data, but the record is strictly locked until the Dermatologist reviews, adds annotations, and digitally signs the finalized medical record in the database.</t>
  </si>
  <si>
    <t>AI hướng dẫn thiết kế một cờ đơn giản `is_verified` kiểu boolean trong bảng hồ sơ. Kỹ thuật viên upload thì set thành false, bác sĩ nhấn nút duyệt thì cập nhật thành true.</t>
  </si>
  <si>
    <t>Critical Thinking: Giải pháp dùng cờ boolean đơn lẻ của AI bộc lộ lỗ hổng bảo mật logic rất lớn. Nó không chặn được việc một tài khoản Kỹ thuật viên cố tình giả mạo request gọi thẳng vào API lưu dữ liệu của Bác sĩ để tự ý kích hoạt cờ duyệt, vượt mặt kiểm soát chuyên môn.
Contextualization: Hồ sơ bệnh án da liễu và phác đồ điều trị thuốc đặc trị là tài liệu pháp lý y tế nhạy cảm, bắt buộc phải có sự xác nhận có danh tính rõ ràng từ bác sĩ chuyên khoa.
Creative Synthesis: Được Gemini giải đáp thắc mắc bảo mật và uốn nắn lại tư duy thiết kế, tôi áp dụng mô hình trạng thái bọc mã băm bảo mật (State-Enforced Secure Authorization Pattern). Khi kỹ thuật viên lưu kết quả, trạng thái chuyển sang `TECH_SUBMITTED`. Khi bác sĩ phê duyệt, hệ thống bắt buộc phải kiểm tra thông tin context đăng nhập của luồng hiện tại từ Spring Security Context, đối chiếu chữ ký nhân sự của bác sĩ rồi mới cho phép chuyển đổi trạng thái sang `DOCTOR_FINALIZED`.
Decision: Áp dụng cơ chế phân định trạng thái bảo mật tầng sâu kết hợp Spring Security Context để bảo vệ luồng duyệt bệnh án lâm sàng.</t>
  </si>
  <si>
    <t>Sơ đồ luồng State Machine</t>
  </si>
  <si>
    <t>Trừu tượng hóa mô hình dữ liệu phản hồi xác thực Voucher (Voucher Validation Response Wrapper) bảo mật thông tin nội bộ</t>
  </si>
  <si>
    <t>- ROLE: Enterprise API Security Architect.
- CONTEXT: Receptionist inputs a voucher code applied by the patient. The Next.js frontend needs to display whether the coupon is valid, and if not, show the specific reason.
- TASK: Abstract the JSON response contract to inform the user about validation errors safely, preventing internal schema leakage or database status exposure.
- FORMAT: Secure JSON schema response payload syntax.
- EXAMPLES: Avoid leaking structural properties like current usage counts or max limits to the client interface.</t>
  </si>
  <si>
    <t>AI gợi ý trả về trực tiếp toàn bộ thực thể cơ sở dữ liệu (Entity Object) `Voucher` xuống Frontend, để Frontend tự đọc các trường `max_limit` và `expiry_date` rồi tự viết code thông báo lỗi.</t>
  </si>
  <si>
    <t>Critical Thinking: Trả về nguyên vẹn Entity Object y như AI gợi ý bộc lộ lỗ hổng rò rỉ thông tin (Information Disclosure Vulnerability). Kẻ xấu có thể mở F12 DevTools để xem trộm toàn bộ thuật toán marketing, số lượng phát hành còn lại hoặc các mã coupon nội bộ nhạy cảm dành riêng cho quản trị viên.
Contextualization: An toàn dữ liệu API là tiêu chí bắt buộc trong việc xây dựng hệ thống phần mềm doanh nghiệp y tế hiện đại.
Creative Synthesis: Tôi áp dụng tính trừu tượng hóa để thiết kế một lớp bọc phản hồi chuyên biệt độc lập là `VoucherStatusDTO`. Lớp này trừu tượng hóa kết quả kiểm tra thành các trường tối giản, an toàn: `is_applicable` (boolean), `discount_amount` (BigDecimal), và `status_message` (String - ví dụ: 'Expired' hoặc 'Min order value not met'). Toàn bộ các trường dữ liệu nhạy cảm nội bộ của DB được giữ lại an toàn ở phía Server.
Decision: Chuẩn hóa giao tiếp API kiểm tra Voucher thông qua lớp trừu tượng dữ liệu an toàn VoucherStatusDTO.</t>
  </si>
  <si>
    <t>Mã nguồn lớp VoucherStatusDTO.java</t>
  </si>
  <si>
    <t>Thuật toán xử lý tranh chấp và đồng bộ áp dụng mã giảm giá giới hạn (Concurrent Voucher Validation Algorithm)</t>
  </si>
  <si>
    <t>Write a robust concurrency control algorithm in Spring Boot to handle a flash voucher with only 1 remaining slot, when 5 receptionists apply it for 5 different patients at the exact same millisecond.</t>
  </si>
  <si>
    <t>AI khuyên sử dụng phương thức bọc xử lý đồng bộ tuần tự bằng từ khóa `synchronized` trực tiếp ở phương thức nghiệp vụ Java Service cấp cao.</t>
  </si>
  <si>
    <t>Critical Thinking: Sử dụng từ khóa `synchronized` của Java là một giải pháp tồi tệ cho hiệu năng hệ thống. Nó khóa toàn bộ luồng thực thi của RAM trên JVM, bắt tất cả các lễ tân khác phải xếp hàng chờ đợi một cách không cần thiết, làm giảm năng suất vận hành của quầy đón tiếp và không giải quyết được triệt để nếu sau này hệ thống deploy lên cụm nhiều server (Load Balancing).
Contextualization: Hệ thống phòng khám cần đảm bảo trải nghiệm xử lý hóa đơn trơn tru, không có độ trễ giao diện cho Lễ tân.
Creative Synthesis: Phản biện lại AI dựa trên đánh giá kiến trúc của Gemini về Transaction Isolation Levels, tôi thiết kế thuật toán tối ưu dựa trên cơ chế **Optimistic Lock-free Deduction**. Tại câu lệnh cập nhật số lượng tồn kho của voucher dưới tầng Database, tôi ép một thuật toán kiểm tra điều kiện dạng ràng buộc: `UPDATE Voucher SET current_usage = current_usage + 1 WHERE id = :id AND current_usage &lt; max_limit`. Lệnh này chạy ở mức nguyên tử (Atomic) của MySQL, giúp chặn đứng 4 request đến sau một cách sạch sẽ, hệ thống trả về lỗi cô lập lập tức mà không cần treo hàng đợi luồng ứng dụng Java.
Decision: Khởi tạo và triển khai thuật toán Atomic Concurrency Control tại tầng cơ sở dữ liệu để bảo vệ số lượng giới hạn của mã ưu đãi.</t>
  </si>
  <si>
    <t>Mã nguồn phương thức updateVoucherUsage trong Repository</t>
  </si>
  <si>
    <t>Phân rã phạm vi áp dụng hiệu ứng Liquid Glass cho giao diện Bác sĩ, tránh làm giảm khả năng đọc dữ liệu lâm sàng</t>
  </si>
  <si>
    <t>I'm redesigning the Doctor Dashboard for my SWP391 clinic system using Next.js and Tailwind CSS. I want to add a 'Liquid Glass' effect in a few spots to modernize the UI. Help me break down which zones of the doctor's screen should get the glass effect and which should stay solid.</t>
  </si>
  <si>
    <t>Claude (Antigravity) gợi ý áp dụng hiệu ứng Liquid Glass đồng loạt lên toàn bộ khung nhìn, bao gồm cả nền của bảng thông tin bệnh nhân và vùng nhập ghi chú lâm sàng để tạo cảm giác đồng bộ xuyên suốt.</t>
  </si>
  <si>
    <t>Critical Thinking: Áp kính mờ lên toàn bộ khung nhìn kể cả vùng chứa text lâm sàng làm giảm độ tương phản chữ xuống dưới ngưỡng dễ đọc, đặc biệt bất lợi khi bác sĩ thao tác trong phòng khám có ánh sáng mạnh hoặc dùng mắt kính lão.  
Contextualization: Bác sĩ cần đọc nhanh, chính xác thông tin chẩn đoán và đơn thuốc, sai sót về khả năng đọc chữ trong môi trường y tế có thể ảnh hưởng trực tiếp đến quyết định điều trị.  
Creative Synthesis: Tôi nhờ ChatGPT kiểm tra lại gợi ý này trước khi code và được xác nhận rủi ro về độ tương phản theo chuẩn WCAG. Tôi phân rã lại phạm vi: chỉ áp Liquid Glass cho các vùng trang trí/điều hướng (Header, Sidebar, khung bao Card thống kê tổng quan), còn bảng dữ liệu bệnh án, vùng nhập ghi chú và đơn thuốc giữ nguyên nền trắng đục (`bg-white/95`) để đảm bảo độ tương phản.  
Decision: Chốt phạm vi Liquid Glass giới hạn ở Header/Sidebar/Card tổng quan cho Doctor Dashboard, không áp lên vùng dữ liệu lâm sàng.</t>
  </si>
  <si>
    <t>Mã nguồn DoctorDashboardLayout.tsx</t>
  </si>
  <si>
    <t>Nhận diện và tái sử dụng mẫu Liquid Glass đã tối ưu cho Bác sĩ sang giao diện Kỹ thuật viên, tránh lặp lại sai lầm áp dụng tràn lan</t>
  </si>
  <si>
    <t>- ROLE: Frontend UI Engineer.
- CONTEXT: We just finalized a limited, performance-safe Liquid Glass pattern for the Doctor Dashboard (Header/Sidebar/summary cards only). Now applying the same visual language to the Technician Dashboard, which uses a Kanban board layout for lab test queues.
- TASK: Suggest how to reuse the glass pattern consistently across the Technician UI.
- FORMAT: Tailwind component guidance.
- EXAMPLES: Kanban column headers, floating action buttons.</t>
  </si>
  <si>
    <t>Claude gợi ý bọc toàn bộ từng thẻ (card) xét nghiệm trong Kanban Board bằng component `GlassCard`, đồng thời áp `backdrop-blur` cho cả các nhãn màu trạng thái (PENDING/PROCESSING/DONE) trên mỗi thẻ.</t>
  </si>
  <si>
    <t>Critical Thinking: Tôi nhận ra đây chính là cùng một dạng lỗi quá đà đã gặp ở giao diện Bác sĩ (Entry 001) — áp kính mờ lên từng đơn vị dữ liệu nhỏ lẻ thay vì lớp khung ngoài, khiến các nhãn màu trạng thái xét nghiệm (đỏ/vàng/xanh) bị mờ nhạt, kỹ thuật viên khó phân biệt nhanh khi đang đeo găng tay thao tác gấp.  
Contextualization: Kỹ thuật viên cần nhận diện trạng thái xét nghiệm bằng màu sắc tức thời, không có thời gian nhìn kỹ; hiệu ứng mờ trên chính nhãn màu làm chậm thao tác điều phối mẫu.  
Creative Synthesis: Áp dụng lại pattern đã rút ra ở Entry 001, tôi giới hạn Liquid Glass chỉ ở phần header của từng cột Kanban (PENDING/PROCESSING/DONE) và thanh toolbar phía trên, giữ nguyên các thẻ xét nghiệm bên trong với nền đục màu trạng thái rõ ràng, không blur.  
Decision: Tái sử dụng component `GlassCard` chỉ cho khung cột Kanban, không áp dụng cho từng card xét nghiệm riêng lẻ ở Technician Dashboard.</t>
  </si>
  <si>
    <t>Mã nguồn TechKanbanBoard.tsx</t>
  </si>
  <si>
    <t>Phân rã danh mục các icon đơn giản, không đồng bộ cần thay thế trên toàn bộ giao diện Bác sĩ và Kỹ thuật viên</t>
  </si>
  <si>
    <t>Our Doctor and Technician screens currently use a messy mix of emoji, inline SVG, and a couple of free FontAwesome icons for things like appointments, prescriptions, and lab tests. Help me plan how to replace these with a consistent icon system across both dashboards.</t>
  </si>
  <si>
    <t>Claude gợi ý cách nhanh nhất là tìm-thay-thế (find-and-replace) trực tiếp từng icon cũ bằng SVG mới được hardcode ngay tại vị trí sử dụng trong mỗi file component.</t>
  </si>
  <si>
    <t>Critical Thinking: Hardcode SVG trực tiếp tại từng vị trí sử dụng lặp lại làm phình to mã nguồn, không kiểm soát được kích thước/stroke-width đồng nhất, và nếu sau này cần đổi bộ icon lại phải sửa thủ công ở hàng chục file.  
Contextualization: Cả hai giao diện Bác sĩ và Kỹ thuật viên dùng chung rất nhiều icon giống nhau (lịch hẹn, đơn thuốc, xét nghiệm, hồ sơ), cần đảm bảo đồng bộ và dễ bảo trì khi làm nốt các phân hệ còn lại ở sprint sau.  
Creative Synthesis: Tôi phân rã lại công việc thành: (1) lập danh sách toàn bộ icon đang dùng và icon cần thay bằng bảng ánh xạ tên ngữ nghĩa, (2) tạo một component trung gian duy nhất `AppIcon` bọc thư viện `lucide-react`, nhận prop `name` để tra map và render icon tương ứng, (3) thay thế dần từng vị trí gọi icon cũ bằng `&lt;AppIcon name=".." /&gt;`.  
Decision: Tập trung toàn bộ icon hệ thống qua component `AppIcon` dùng chung, thay vì sửa rải rác từng file.</t>
  </si>
  <si>
    <t>Mã nguồn AppIcon.tsx và bảng ánh xạ icon-map.ts</t>
  </si>
  <si>
    <t>Trừu tượng hóa cách Admin UI nhận biết trạng thái hết hạn của Voucher, tránh để Frontend tự so sánh ngày tháng thô gây lỗi hiển thị sai</t>
  </si>
  <si>
    <t>- ROLE: Backend API Architect.
- CONTEXT: The Admin Voucher list currently sends the raw `expiry_date` field to the Next.js frontend, which then compares it against the browser's current time to decide whether to show an 'Expired' or 'Active' badge.
- TASK: Abstract this so the frontend doesn't need to perform date comparison logic itself.
- FORMAT: DTO / response schema suggestion.</t>
  </si>
  <si>
    <t>Claude gợi ý vẫn giữ nguyên trường `expiry_date` gốc trong response, chỉ thêm ghi chú comment trong code nhắc Frontend dùng thư viện `date-fns` để so sánh cho chuẩn.</t>
  </si>
  <si>
    <t>Critical Thinking: Gợi ý của AI chỉ mang tính vá tạm — vẫn đẩy trách nhiệm so sánh thời gian, vốn là nguồn gốc của bug hiển thị sai trạng thái, về phía Frontend. Việc dùng thư viện chuẩn ở Client không giải quyết được gốc rễ vấn đề là dữ liệu so sánh giữa hai nơi (server lưu UTC, browser đọc theo local timezone) không nhất quán.  
Contextualization: Đây chính là nguyên nhân của lỗi voucher hiển thị sai trạng thái hết hạn mà Admin đang báo (voucher hết hạn lúc nửa đêm nhưng vẫn hiện 'Còn hạn' hoặc ngược lại).  
Creative Synthesis: Tôi trừu tượng hóa lại: Backend tự tính toán sẵn trường boolean `is_expired` và enum `status` ('ACTIVE' | 'EXPIRED' | 'UPCOMING') ngay tại Service, đóng gói vào `VoucherAdminDTO`, Frontend chỉ cần đọc và hiển thị, không thực hiện bất kỳ phép so sánh ngày tháng nào nữa.  
Decision: Chuẩn hóa response Admin Voucher API trả kèm trường `status` đã được tính toán sẵn từ Backend.</t>
  </si>
  <si>
    <t>Mã nguồn VoucherAdminDTO.java</t>
  </si>
  <si>
    <t>Thuật toán xác định chính xác trạng thái hết hạn Voucher theo múi giờ Việt Nam để khắc phục lỗi lệch giờ hiển thị tại Admin</t>
  </si>
  <si>
    <t>Write the Java logic to compute whether a voucher is expired. The `expiry_date` is stored as a plain DATE column (no time zone) in MySQL, and admins in Vietnam were seeing some vouchers flip between 'Active' and 'Expired' inconsistently near midnight.</t>
  </si>
  <si>
    <t>Claude viết đoạn code so sánh đơn giản: `boolean isExpired = voucher.getExpiryDate().isBefore(LocalDate.now());` sử dụng trực tiếp `LocalDate.now()` mặc định của JVM server.</t>
  </si>
  <si>
    <t>Critical Thinking: `LocalDate.now()` mặc định lấy theo múi giờ hệ điều hành của server đang chạy ứng dụng, trong khi server production được deploy trên nền tảng cloud lại mặc định cấu hình múi giờ UTC. Điều này khiến ranh giới "ngày" bị lệch 7 tiếng so với giờ Việt Nam — một voucher hết hạn 23:59 ngày 30/6 giờ VN vẫn còn hiển thị "Còn hạn" đến tận 6:59 sáng 1/7 giờ VN do server tính theo UTC.  
Contextualization: Toàn bộ hoạt động của phòng khám và Lễ tân vận hành theo giờ địa phương Việt Nam (UTC+7), trong khi hạ tầng server không mặc định cùng múi giờ.  
Creative Synthesis: Tôi nhờ Gemini phân tích lại vấn đề múi giờ hệ thống và được giải thích rõ rủi ro của việc phụ thuộc múi giờ mặc định của JVM. Tôi sửa thuật toán ép chỉ định rõ múi giờ cố định: `boolean isExpired = voucher.getExpiryDate().isBefore(LocalDate.now(ZoneId.of("Asia/Ho_Chi_Minh")));`, đảm bảo mọi môi trường deploy đều tính đúng ranh giới ngày theo giờ Việt Nam bất kể server đặt ở đâu.  
Decision: Cố định `ZoneId.of("Asia/Ho_Chi_Minh")` cho toàn bộ logic tính ngày hết hạn Voucher, không phụ thuộc múi giờ mặc định server.</t>
  </si>
  <si>
    <t>Mã nguồn VoucherExpiryUtil.java</t>
  </si>
  <si>
    <t>Nhận diện lại nhu cầu tái sử dụng component AppIcon để hiển thị nhất quán icon trạng thái Voucher (Còn hạn/Hết hạn/Sắp diễn ra) tại Admin</t>
  </si>
  <si>
    <t>Now that the Voucher status field (ACTIVE/EXPIRED/UPCOMING) is available from the backend, help me display it with icons in the Admin voucher table alongside the AppIcon system we just built.</t>
  </si>
  <si>
    <t>Claude gợi ý import trực tiếp icon rời `CheckCircle`, `XCircle`, `Clock` từ `lucide-react` ngay trong file bảng Voucher Admin, viết điều kiện if-else để chọn icon và màu tương ứng ngay tại chỗ.</t>
  </si>
  <si>
    <t>Critical Thinking: Import icon rời và viết if-else chọn icon ngay tại component bảng Voucher đi ngược lại quyết định vừa chốt ở Entry 003 — tạo ra một điểm quản lý icon thứ hai nằm ngoài `AppIcon`, phá vỡ tính tập trung vừa xây dựng.  
Contextualization: Chỉ vài giờ trước tôi vừa thống nhất toàn bộ icon hệ thống phải đi qua `AppIcon`, việc để AI viết import rời ở một màn hình khác sẽ khiến công sức chuẩn hóa mất tác dụng.  
Creative Synthesis: Tôi nhận diện đây là đúng bài toán ánh xạ ngữ nghĩa đã giải ở Entry 003. Tôi mở rộng bảng ánh xạ `icon-map.ts` thêm 3 khóa mới `status-active`, `status-expired`, `status-upcoming` trỏ tới `CheckCircle`, `XCircle`, `Clock`, rồi gọi `&lt;AppIcon name="status-active" className="text-emerald-500" /&gt;` ngay trong bảng Voucher, không import icon rời ở bất kỳ đâu khác.  
Decision: Mở rộng bảng ánh xạ trong `AppIcon` thay vì import icon rời riêng lẻ cho màn hình Voucher Admin, giữ tính tập trung của hệ thống icon.</t>
  </si>
  <si>
    <t>Mã nguồn VoucherAdminTable.tsx và cập nhật icon-map.ts</t>
  </si>
  <si>
    <t>Phân rã các bước xử lý mã nguồn để sửa lỗi vỡ bố cục hiệu ứng kính mờ (Liquid Glass) trên một số trình duyệt cũ của Bác sĩ và Lễ tân</t>
  </si>
  <si>
    <t>The custom glassmorphism components on the Doctor and Receptionist dashboards are completely breaking on Safari and older mobile browsers, dropping the blurred background. How can I decompose my Tailwind configurations and add CSS fallback mechanisms to fix this rendering issue?</t>
  </si>
  <si>
    <t>AI gợi ý bóc tách lớp CSS và thêm các tiền tố nhà sản xuất CSS như `-webkit-backdrop-filter` trực tiếp vào mã nguồn, đồng thời khuyên dùng thuộc tính màu nền mờ dự phòng (solid opaque alpha fill) làm giải pháp an toàn khi trình duyệt hoàn toàn không hỗ trợ blur.</t>
  </si>
  <si>
    <t>Critical Thinking: Gợi ý thêm nhà sản xuất của AI là chuẩn xác, nhưng việc bảo bảo cấu trúc đồng bộ trên Tailwind CSS yêu cầu cấu hình tập trung trong file cài đặt, không nên sửa thủ công rải rác từng div ở các trang của bác sĩ/lễ tân vì dễ dính lỗi thiếu sót.
Contextualization: Dự án SWP391 yêu cầu giao diện đồng bộ tuyệt đối trên mọi máy trạm điều phối lâm sàng.
Creative Synthesis: Tôi đã mở rộng file cấu hình `tailwind.config.js` để tự tạo ra một utility class tùy chỉnh bọc sẵn cả `-webkit-backdrop-filter` và `backdrop-filter` quy chuẩn. Ở các component giao diện, tôi gọi mã tập trung thông qua class dự phòng này, giúp giao diện tự động hạ cấp xuống màu bán trong suốt mịn màng trên trình duyệt cổ mà không làm sập khung bố cục.
Decision: Chuẩn hóa bộ luật fallback CSS Glassmorphic tập trung tại file cấu hình hệ thống giao diện.</t>
  </si>
  <si>
    <t>Mã nguồn tailwind.config.js &amp; UI components</t>
  </si>
  <si>
    <t>Phân rã kịch bản nghiệp vụ Admin thêm mới nhân viên và khởi tạo bảng phân lịch làm việc định kỳ (Staff Rostering)</t>
  </si>
  <si>
    <t>- ROLE: Software Architecture Consultant.
- CONTEXT: Designing the Admin module for a busy Dermatology Clinic System (SWP391). The Admin adds medical staff and creates weekly recurring schedules for Doctors, Technicians, and Receptionists.
- TASK: Decompose the end-to-end rostering workflow into independent logical steps to prevent employee shift overlaps and enforce daily legal working hour constraints (Max 8 hours/day).
- FORMAT: Step-by-step business rule decomposition list.
- EXAMPLES: Show where to implement validation checkpoints before persisting schedule blocks into the database.</t>
  </si>
  <si>
    <t>AI phân rã luồng thành 3 bước: 1. Admin nhập thông tin nhân viên -&gt; Lưu DB; 2. Chọn nhân viên -&gt; Tạo ca làm việc; 3. Lưu trực tiếp ca làm vào bảng `Schedules` mà không cần lọc điều kiện ràng buộc nâng cao.</t>
  </si>
  <si>
    <t>Critical Thinking: Việc phân rã luồng lưu lịch làm việc thô của AI mà không chạy qua bộ lọc validation cô lập trước khi insert là cực kỳ nguy hiểm. Trong thực tế phòng khám, một bác sĩ có thể bị Admin xếp trùng ca vô lý vào 2 phòng khám khác nhau cùng một thời điểm, hoặc tổng số giờ làm việc vượt quá 8 tiếng quy chuẩn.
Contextualization: Nghiệp vụ phân lịch nhân sự y tế y khoa yêu cầu độ chính xác tuyệt đối để đảm bảo phòng ban luôn có người trực và tuân thủ luật lao động.
Creative Synthesis: Tôi đã cấu trúc lại luồng xử lý: Tách biệt hoàn toàn bước tiếp nhận kịch bản thô từ Admin giao diện và bước chạy hàm Validator nghiệp vụ ở Backend. Viết một lớp dịch vụ `ScheduleValidator` chuyên biệt. Khi Admin nhấn lưu, hệ thống sẽ gom dữ liệu lại thành danh sách tạm, thực hiện tính toán hàm `Duration` tích lũy tổng số phút đăng ký trong ngày của nhân sự. Nếu vượt quá 480 phút (8 tiếng) hoặc phát hiện trùng ID phòng khám, hệ thống sẽ ném ngoại lệ chặn đứng và trả về danh sách lỗi cụ thể.
Decision: Kiến trúc luồng tạo lịch làm việc thông qua lớp kiểm duyệt trung gian ScheduleValidator nghiêm ngặt.</t>
  </si>
  <si>
    <t>Mã nguồn ScheduleService.java</t>
  </si>
  <si>
    <t>Áp dụng giải pháp kết nối Google MediaPipe Face Mesh API cho tính năng AI quét da chẩn đoán sơ bộ</t>
  </si>
  <si>
    <t>I am building the AI Skin Scanner feature for the patient portal. I want to integrate the Google MediaPipe SDK on the Next.js frontend to capture the camera frame, isolate facial skin regions, and prepare the image dataset before transmitting it to our backend classification model. Provide a clean implementation pattern.</t>
  </si>
  <si>
    <t>AI hướng dẫn cài đặt SDK `@mediapipe/face_mesh` ở Frontend, khởi tạo luồng chạy camera, gọi hàm `onResults()` lấy toàn bộ ma trận 468 điểm tọa độ khuôn mặt rồi vẽ các đường lưới mesh lên canvas hiển thị cho người dùng xem.</t>
  </si>
  <si>
    <t>Critical Thinking: Hướng dẫn vẽ lưới mesh lên canvas của AI chỉ giải quyết được phần hiển thị thẩm mỹ bề ngoài (UI decoration). AI hoàn toàn bỏ qua nhiệm vụ cốt lõi là bóc tách dữ liệu: Hệ thống cần thuật toán dùng các tọa độ điểm biên đó để tự động cắt (crop) bỏ vùng thừa xung quanh (như tóc, mắt, nền phòng) để chỉ trích xuất duy nhất vùng da sạch (facial skin texture) làm dữ liệu sạch đầu vào cho model phân loại chẩn đoán.
Contextualization: Mô hình phân loại bệnh lý da liễu ở backend yêu cầu hình ảnh đầu vào cực kỳ tinh gọn, không được dính tạp chất bối cảnh xung quanh để tránh làm giảm độ chính xác của AI chẩn đoán.
Creative Synthesis: Nhận diện mẫu thiết kế xử lý ảnh (Image Pipeline Pattern), tôi cấu trúc lại code: Sử dụng các điểm mốc biên cố định từ MediaPipe Face Mesh (như vùng má, trán) làm ranh giới đa giác (Bounding Polygon). Sử dụng phương thức cắt ảnh nâng cao của HTML5 Canvas để cô lập vùng đa giác da đó, chuyển đổi thành tệp ảnh nén JPEG sạch trước khi gửi lên API Backend. Nhờ ChatGPT kiểm tra kế hoạch thiết lập này, tôi đã tối ưu hóa được luồng tải ảnh bất đồng bộ cực kỳ mượt mà.
Decision: Áp dụng Pattern trích xuất đa giác hình ảnh bằng MediaPipe Face Mesh để làm sạch dữ liệu đầu vào cho AI quét da.</t>
  </si>
  <si>
    <t>Mã nguồn Component SkinScanner.tsx</t>
  </si>
  <si>
    <t>Tích hợp mẫu kiến trúc đại lý phân tuyến (Routing Agent Pattern) kết hợp RAG cho phân hệ AI Chatbot tư vấn và điều phối</t>
  </si>
  <si>
    <t>- ROLE: Conversational AI Architect.
- CONTEXT: Integrating an intelligent AI Chatbot inside our Dermatology Clinic platform (SWP391) to assist patients with skincare FAQs and automatically route critical cases to a live receptionist.
- TASK: Design a robust message routing pattern that leverages local Vector Database Retrieval (RAG) for medical answers, while dynamically evaluating patient intent to trigger human receptionist intervention.
- FORMAT: Message processing pipeline flow description.
- EXAMPLES: Route safe inquiries (e.g., 'How to treat dry skin?') to local RAG data, and severe inputs (e.g., 'My face is bleeding after laser') straight into the Receptionist's dashboard queue.</t>
  </si>
  <si>
    <t>AI gợi ý giải pháp kết nối chatbot thẳng vào API của OpenAI/Gemini với một prompt chỉ định chung chung: 'Bạn là trợ lý phòng khám, hãy trả lời câu hỏi và khuyên người dùng gặp lễ tân nếu thấy nguy cấp'.</t>
  </si>
  <si>
    <t>Critical Thinking: Sử dụng một prompt chỉ định chung chung của AI có rủi ro cực cao về mặt an toàn y tế và chi phí vận hành. AI có thể bị dính lỗi ảo giác (hallucination) đưa ra lời khuyên sai lệch nguy hiểm, hoặc liên tục đẩy các ca hỏi đáp thông thường vào hàng đợi của Lễ tân gây quá tải hệ thống một cách vô ích.
Contextualization: Đồ án hệ thống y tế đòi hỏi kiểm soát chặt chẽ ranh giới câu trả lời và phân cấp điều phối người dùng chính xác theo thời gian thực.
Creative Synthesis: Theo gợi ý phần AI trong dự án từ Gemini, tôi áp dụng mẫu thiết kế **Routing Agent Pattern**. Luồng tin nhắn của bệnh nhân gửi lên Backend sẽ đi qua một bộ phân tích phân loại ý định (Intent Classifier). Nếu là câu hỏi phổ thông, hệ thống kích hoạt cơ chế RAG gọi dữ liệu cục bộ đã duyệt từ Database để trả lời an toàn. Nếu Intent Classifier nhận diện từ khóa nguy cấp (bleeding, severe pain, infection), hệ thống sẽ lập tức đóng gói ngữ cảnh chat, bắn một sự kiện thời gian thực đẩy ca này thẳng vào hàng chờ ưu tiên của Dashboard Lễ tân kèm âm thanh cảnh báo.
Decision: Triển khai kiến trúc AI Chatbot phân tuyến dữ liệu bảo mật tích hợp RAG và Lễ tân trực tuyến.</t>
  </si>
  <si>
    <t>Mã nguồn ChatbotController.java</t>
  </si>
  <si>
    <t>Trừu tượng hóa lớp bảo mật thông tin tệp tin hình ảnh quét da của bệnh nhân qua API Gateway để bảo vệ quyền riêng tư y tế</t>
  </si>
  <si>
    <t>To protect patient medical privacy during AI skin scanning, should our Next.js frontend upload raw high-resolution images directly or should we abstract the file transmission layer? Design a secure API payload contract.</t>
  </si>
  <si>
    <t>AI đề xuất viết một API truyền nhận file thông thường bằng Multipart-Multipart Multipart-File, truyền trực tiếp tệp ảnh gốc đính kèm tên file thô chứa ID của bệnh nhân lên máy chủ công khai.</t>
  </si>
  <si>
    <t>Critical Thinking: Truyền file thô kèm ID bệnh nhân công khai lên API Gateway làm rò rỉ nghiêm trọng thông tin định danh y tế dữ liệu cá nhân (vi phạm tiêu chuẩn bảo mật y tế). Hacker có thể thực hiện tấn công nghe lén đường truyền để lấy cắp ảnh nhạy cảm của người bệnh.
Contextualization: Hồ sơ hình ảnh da liễu là dữ liệu riêng tư tối mật của bệnh nhân, API cần được trừu tượng hóa để xóa bỏ tính định danh thực tế.
Creative Synthesis: Tôi áp dụng tính trừu tượng hóa để thiết kế một hợp đồng truyền dữ liệu bảo mật (Secure Abstraction Layer). Tại Frontend, hình ảnh sau khi trích xuất đa giác bằng MediaPipe sẽ được nén dung lượng và mã hóa thành một luồng nhị phân trừu tượng. Khi đẩy qua API Gateway, hệ thống bọc dữ liệu vào một DTO mang tên `EncryptedImagePayload`, thay thế toàn bộ thông tin cá nhân bằng một chuỗi định danh UUID vô danh được sinh ngẫu nhiên theo phiên làm việc. Tệp vật lý được lưu vào thư mục hệ thống cô lập được bảo vệ bằng token mã hóa.
Decision: Chuẩn hóa kiến trúc an toàn API quét ảnh thông qua mô hình trừu tượng hóa dữ liệu mã hóa vô danh.</t>
  </si>
  <si>
    <t>Mã nguồn lớp EncryptedImagePayload.java</t>
  </si>
  <si>
    <t>Trừu tượng hóa tính năng nâng cao sáng tạo đột phá do Gemini đề xuất: 'Dòng thời gian phân tích phục hồi sắc tố da thông minh' (Predictive Treatment Progress Timeline)</t>
  </si>
  <si>
    <t>Propose one innovative, highly valuable AI-driven feature for our dermatology project to enhance doctor diagnostic accuracy or patient retention, and explain its abstract architectural design.</t>
  </si>
  <si>
    <t>AI gợi ý làm tính năng gửi tin nhắn tự động nhắc nhở bệnh nhân uống thuốc đúng giờ hàng ngày thông qua hệ thống Email/SMS định kỳ.</t>
  </si>
  <si>
    <t>Critical Thinking: Tính năng nhắc nhở qua Email của AI quá phổ thông và mang tính chất CSKH thông thường, không tận dụng được sức mạnh công nghệ AI tích hợp và không đem lại giá trị đột phá cho đồ án SWP391.
Contextualization: Dự án cần một tính năng mang tính điểm nhấn công nghệ cao cấp nhằm thuyết phục hội đồng chấm điểm về khả năng ứng dụng AI thực tế.
Creative Synthesis: Tiếp thu đề xuất độc đáo từ Gemini, tôi xây dựng tính năng **Dòng thời gian phân tích phục hồi sắc tố da thông minh**. Tôi trừu tượng hóa tiến trình điều trị của bệnh nhân bằng cách sử dụng thuật toán Computer Vision so sánh độ lệch sắc tố da và mật độ tổn thương giữa ảnh soi da cũ và ảnh soi da mới trong các ca tái khám. Hệ thống tự động vẽ ra một biểu đồ dòng thời gian phục hồi trực quan (`Progress Timeline Graph`) trên Dashboard giúp Bác sĩ đánh giá chính xác độ hiệu quả của phác đồ thuốc hiện tại.
Decision: Kiến trúc phân hệ phân tích dự báo tiến trình phục hồi da nâng cao để nâng tầm công nghệ cho dự án.</t>
  </si>
  <si>
    <t>Mã nguồn lớp xử lý ProgressAnalyzer.java</t>
  </si>
  <si>
    <t>Thuật toán rà soát rà soát xung đột và kiểm tra trùng lịch xếp ca nhân sự (Schedule Clash Detection Algorithm) cho Admin</t>
  </si>
  <si>
    <t>Write a robust scheduling algorithm in Java to validate that when an Admin creates a new schedule roster, no doctor or technician is accidentally double-booked across overlapping clinic rooms or time windows on the same day.</t>
  </si>
  <si>
    <t>AI viết một thuật toán kiểm tra bằng cách sử dụng vòng lặp `for` lồng nhau lặp qua toàn bộ danh sách lịch cũ trong Java để so sánh thủ công mốc thời gian bắt đầu ca khám.</t>
  </si>
  <si>
    <t>Critical Thinking: Sử dụng vòng lặp `for` lồng nhau ở tầng Java ứng dụng là một thuật toán tồi tệ với độ phức tạp $O(N^2)$. Khi số lượng nhân viên phòng khám phình to lên hàng trăm người cùng hàng ngàn ca trực, thuật toán này sẽ ngốn sạch tài nguyên CPU của JVM, gây treo đơ giao diện Admin khi xếp lịch.
Contextualization: Hệ thống quản lý lịch trình y tế cần tốc độ phản hồi tính toán ngay lập tức khi Admin nhấn lưu bảng phân phối ca.
Creative Synthesis: Tôi trục xuất hoàn toàn vòng lặp của AI, chuyển dịch thuật toán xử lý tính toán xung đột trực tiếp xuống tầng Database nguyên tử bằng phép toán so khớp khoảng giao nhau (Interval Overlap Check). Tự tay viết một câu lệnh JPQL tùy chỉnh thực hiện quét đa điều kiện trong duy nhất một lần gọi: `WHERE s.staffId = :staffId AND s.date = :date AND (s.startTime &lt; :endTime AND s.endTime &gt; :startTime)`. Nếu câu lệnh trả về kết quả đếm lớn hơn 0, hệ thống lập tức báo lỗi chặn đứng hành vi xếp trùng.
Decision: Triển khai thuật toán rà soát xung đột lịch trực tiếp tại tầng cơ sở dữ liệu để tối ưu hóa tài nguyên hệ thống.</t>
  </si>
  <si>
    <t>Mã nguồn Custom JPQL Query Method trong Repository</t>
  </si>
  <si>
    <t>Xác định nguyên nhân khiến AI chẩn đoán sai loại tổn thương da (nhận diện nhầm giữa mụn viêm và nám) sau một thời gian đưa vào sử dụng thực tế</t>
  </si>
  <si>
    <t>- ROLE: Senior Computer Vision Debugging Engineer.
- CONTEXT: Our AI Skin Scanner model, running in production for the Dermatology Clinic (SWP391), has recently started misclassifying inflammatory acne as melasma/pigmentation spots for patients under the clinic's fluorescent lighting.
- TASK: Diagnose the likely root causes of this drift in classification accuracy and propose a concrete debugging + remediation plan.
- FORMAT: Root-cause checklist followed by a fix plan.
- EXAMPLES: Consider preprocessing normalization, lighting variance, and class imbalance in training data.</t>
  </si>
  <si>
    <t>Claude (Antigravity) chẩn đoán nhanh và kết luận nguyên nhân duy nhất là do model quá cũ, đề xuất giải pháp đơn giản: tăng ngưỡng confidence threshold từ 0.5 lên 0.9 để lọc bỏ bớt các kết quả chẩn đoán không chắc chắn.</t>
  </si>
  <si>
    <t>Critical Thinking: Chỉ tăng ngưỡng confidence không giải quyết được gốc rễ của việc mô hình nhầm lẫn giữa hai lớp bệnh khác nhau — nó chỉ ẩn bớt các dự đoán có độ tin cậy thấp, trong khi nhiều ca vẫn bị chẩn đoán SAI với độ tin cậy cao do dữ liệu đầu vào bị lệch (ảnh chụp dưới đèn huỳnh quang phòng khám làm sai lệch tông màu da so với ảnh training ban đầu chụp trong điều kiện ánh sáng chuẩn).  
Contextualization: Phòng khám sử dụng đèn huỳnh quang trắng lạnh, trong khi tập dữ liệu huấn luyện gốc lấy chủ yếu từ ảnh chụp ánh sáng tự nhiên/đèn LED ấm, gây lệch phân bố màu (color domain shift).  
Creative Synthesis: Sau khi Claude code xong bản vá tạm (tăng threshold), tôi đưa toàn bộ giải pháp cho ChatGPT đánh giá hậu kiểm. ChatGPT chỉ ra đúng vấn đề domain shift và đề xuất thêm bước tiền xử lý chuẩn hóa cân bằng trắng (White Balance Normalization) trước khi đưa ảnh vào model, đồng thời khuyến nghị bổ sung tập ảnh chụp dưới đèn huỳnh quang vào dữ liệu fine-tune. Tôi phân rã lại pipeline debug thành 3 bước độc lập: (1) Chuẩn hóa ánh sáng ảnh đầu vào bằng thuật toán Gray World White Balance trước khi model xử lý, (2) Giữ nguyên ngưỡng confidence gốc 0.5 vì bản chất vấn đề không phải do ngưỡng, (3) Lên kế hoạch fine-tune bổ sung dữ liệu ảnh chụp tại phòng khám thực tế cho sprint sau.  
Decision: Áp dụng bước tiền xử lý cân bằng trắng ảnh đầu vào làm giải pháp ưu tiên trước mắt, hoãn việc chỉnh ngưỡng confidence và fine-tune lại model sang giai đoạn kế tiếp.</t>
  </si>
  <si>
    <t>Mã nguồn SkinPreprocessing.py và log so sánh kết quả trước/sau</t>
  </si>
  <si>
    <t>Thiết kế thuật toán kết nối linh hoạt giữa AI Chatbot tư vấn và Lễ tân trực tuyến, tự động chuyển giao khi lễ tân đang bận hoặc offline</t>
  </si>
  <si>
    <t>- ROLE: Real-time Systems Architect.
- CONTEXT: Our AI Chatbot (built in Week 9 with a Routing Agent Pattern) escalates urgent cases to a live Receptionist queue. However, if all receptionists are currently busy or offline, escalated messages currently just sit unanswered in the queue.
- TASK: Design a flexible fallback algorithm so the connection between chatbot and receptionist adapts to receptionist availability in real time.
- FORMAT: State-based routing logic.
- EXAMPLES: Consider receptionist online/offline status, current active chat count per receptionist, and a temporary AI-assisted holding message.</t>
  </si>
  <si>
    <t>Claude viết logic đơn giản: khi có ca khẩn cấp, hệ thống chọn ngẫu nhiên (random) một Lễ tân bất kỳ trong danh sách tài khoản có role Receptionist để gán ca chat, không kiểm tra trạng thái online/offline hay số lượng ca đang xử lý.</t>
  </si>
  <si>
    <t>Critical Thinking: Gán ngẫu nhiên không kiểm tra trạng thái online/offline hoàn toàn có thể đẩy ca khẩn cấp cho một Lễ tân đã đăng xuất hoặc đang bận xử lý 5 ca khác cùng lúc, khiến bệnh nhân cấp cứu bị bỏ rơi trong im lặng.  
Contextualization: Ca trực Lễ tân xoay vòng theo ca sáng/chiều, số lượng lễ tân online tại một thời điểm dao động liên tục, cần cơ chế phân phối động theo tải thực tế.  
Creative Synthesis: Sau khi Claude code xong bản gán ngẫu nhiên, tôi nhờ ChatGPT review lại toàn bộ luồng, ChatGPT chỉ ra thêm rủi ro 'thả rơi' ca chat khi không có lễ tân nào online và đề xuất thêm cơ chế fallback bằng tin nhắn giữ chỗ tự động. Tôi thiết kế lại thuật toán chọn lễ tân theo trọng số tải thấp nhất (Least-Busy Assignment): hệ thống chỉ xét các Lễ tân đang có trạng thái `ONLINE`, sắp xếp theo số ca đang xử lý tăng dần, gán ca mới cho người có tải thấp nhất. Nếu không có Lễ tân nào online, hệ thống tự động gửi tin nhắn giữ chỗ 'Đã ghi nhận, lễ tân sẽ phản hồi ngay khi có mặt' đồng thời đẩy thông báo ưu tiên cao vào email/app của ca trực gần nhất.  
Decision: Triển khai thuật toán phân công linh hoạt theo tải thấp nhất (Least-Busy Assignment) kèm cơ chế giữ chỗ dự phòng khi không có Lễ tân online.</t>
  </si>
  <si>
    <t>Mã nguồn ChatAssignmentService.java</t>
  </si>
  <si>
    <t>Áp dụng mẫu giao diện quen thuộc kiểu Messenger cho khung chat giữa Lễ tân và Bệnh nhân để trải nghiệm mượt mà, tự nhiên hơn</t>
  </si>
  <si>
    <t>Our current Receptionist-Patient chat window looks clunky - messages just stack in plain rows with no bubbles, no avatar, and the page reloads on every new message. Help me redesign it to feel like a modern messaging app such as Messenger, with smooth real-time updates.</t>
  </si>
  <si>
    <t>Claude cung cấp giao diện bong bóng chat (chat bubble) cơ bản, nhưng lập trình cơ chế cập nhật tin nhắn mới bằng cách gọi lại toàn bộ API lấy lại danh sách 100 tin nhắn gần nhất mỗi 3 giây (polling) rồi render lại (re-render) toàn bộ khung chat.</t>
  </si>
  <si>
    <t>Critical Thinking: Polling lại toàn bộ 100 tin nhắn mỗi 3 giây rồi render lại cả khung chat gây giật hình (flickering), mất vị trí cuộn (scroll position) mỗi lần bệnh nhân đang đọc tin nhắn cũ, hoàn toàn không mượt mà như Messenger thực tế.  
Contextualization: Trải nghiệm nhắn tin là điểm chạm thường xuyên nhất giữa Lễ tân và bệnh nhân, cần cảm giác tức thời (instant) giống các ứng dụng chat thương mại phổ biến.  
Creative Synthesis: Tôi nhận diện đây là bài toán đã có sẵn hạ tầng Server-Sent Events (SSE) dùng cho hàng chờ khám ở các tuần trước — có thể tái sử dụng cùng pattern đẩy tin nhắn (push) thay vì polling. Tôi thiết kế lại: chỉ tải 1 lần danh sách tin nhắn cũ khi mở khung chat, sau đó lắng nghe kênh SSE riêng theo `conversationId` để nhận từng tin nhắn mới, dùng thao tác `append` thêm vào cuối mảng state hiện có (không load lại toàn bộ), tự động cuộn xuống cuối chỉ khi người dùng đang ở cuối khung chat, giữ nguyên vị trí cuộn nếu họ đang đọc lịch sử cũ.  
Decision: Chuyển từ cơ chế Polling sang tái sử dụng kênh SSE theo cuộc hội thoại (per-conversation channel), áp dụng UI bong bóng chat kiểu Messenger với auto-scroll thông minh.</t>
  </si>
  <si>
    <t>Mã nguồn PatientChatWindow.tsx</t>
  </si>
  <si>
    <t>Phân rã pipeline tính năng AI nghe giọng nói cuộc hội thoại khám bệnh để tự động điền các trường thông tin trong form khám cho Bác sĩ</t>
  </si>
  <si>
    <t>- ROLE: Applied AI / Speech Systems Engineer.
- CONTEXT: We want an AI feature that listens to the live conversation between Doctor and Patient during a consultation, and automatically fills relevant fields in the consultation form (symptoms, diagnosis notes, prescribed medicine) to reduce manual typing.
- TASK: Decompose this feature into its constituent technical stages from raw audio to filled form fields.
- FORMAT: Ordered pipeline stage list with responsibilities for each stage.
- EXAMPLES: Consider streaming vs batch transcription, and how free-form speech maps to structured fields.</t>
  </si>
  <si>
    <t>Claude gợi ý một pipeline 2 bước duy nhất: (1) Ghi âm toàn bộ cuộc khám, chuyển thành văn bản bằng Speech-to-Text sau khi kết thúc buổi khám, (2) Dán toàn bộ đoạn văn bản thô đó thẳng vào ô 'Ghi chú lâm sàng' (Clinical Notes) để bác sĩ tự đọc lại và tự tay gõ các trường còn lại.</t>
  </si>
  <si>
    <t>Critical Thinking: Pipeline 2 bước của AI thực chất chưa giải quyết đúng yêu cầu cốt lõi — mục tiêu là TỰ ĐỘNG ĐIỀN các trường riêng biệt (triệu chứng, chẩn đoán, đơn thuốc) chứ không phải dán một khối văn bản thô rồi bắt bác sĩ tự gõ lại, như vậy không giảm được thao tác gõ tay như kỳ vọng ban đầu.  
Contextualization: Mục tiêu nghiệp vụ là giảm thời gian bác sĩ phải gõ tay giữa các ca khám liên tục, một khối văn bản thô không tự map được vào các trường cấu trúc của form khám.  
Creative Synthesis: Tôi phân rã lại pipeline thành 4 giai đoạn rõ ràng: (1) Streaming Speech-to-Text theo thời gian thực trong lúc khám (không đợi kết thúc), (2) Gửi transcript tích lũy theo từng đoạn hội thoại tới một bước trích xuất thực thể (Entity Extraction) dùng LLM để nhận diện triệu chứng, vị trí tổn thương, chẩn đoán sơ bộ, tên thuốc được nhắc tới, (3) Ánh xạ (map) các thực thể trích xuất được vào đúng trường tương ứng trên form khám dưới dạng gợi ý (draft, có thể sửa), (4) Bác sĩ xem lại và xác nhận từng trường trước khi lưu chính thức, không tự động lưu thẳng.  
Decision: Áp dụng pipeline 4 giai đoạn Streaming STT + Entity Extraction + Field Mapping + Human Confirmation thay vì dán nguyên khối văn bản thô.</t>
  </si>
  <si>
    <t>Sơ đồ pipeline Voice-to-Form; Mã nguồn ConsultationVoiceService.java</t>
  </si>
  <si>
    <t>Trừu tượng hóa cấu trúc dữ liệu trung gian giữa kết quả trích xuất giọng nói và các trường trên form khám bệnh, đảm bảo không ghi đè nhầm dữ liệu bác sĩ đã tự nhập</t>
  </si>
  <si>
    <t>- ROLE: Backend Data Modeling Architect.
- CONTEXT: The entity-extraction step from Entry 004 produces raw key-value guesses (symptom, diagnosis, medicine) from the conversation transcript. These need to populate the Doctor's consultation form fields as editable drafts.
- TASK: Design the DTO/data contract between the AI extraction service and the frontend consultation form, considering that the doctor might already be typing in some fields manually while the AI is still processing.
- FORMAT: Clean DTO schema with field-level metadata.</t>
  </si>
  <si>
    <t>Claude gợi ý API trả về trực tiếp một object phẳng ghi đè thẳng vào state hiện tại của form: `{symptom: '...', diagnosis: '...', medicine: '...'}`, cứ có kết quả mới từ AI là set lại toàn bộ state form.</t>
  </si>
  <si>
    <t>Critical Thinking: Ghi đè thẳng toàn bộ state form mỗi khi có kết quả AI mới sẽ XÓA MẤT nội dung bác sĩ đang gõ tay dở trong lúc AI vẫn đang xử lý nền, cực kỳ nguy hiểm vì có thể làm mất dữ liệu lâm sàng bác sĩ vừa nhập.  
Contextualization: Bác sĩ có thể chỉnh sửa trực tiếp trường 'Chẩn đoán' bằng tay ngay cả khi AI đang tiếp tục lắng nghe và xử lý phần hội thoại sau đó, hai nguồn ghi dữ liệu (người và AI) cùng tồn tại song song trên cùng form.  
Creative Synthesis: Sau khi Claude code xong, tôi đưa cho ChatGPT đánh giá hậu kiểm, ChatGPT xác nhận đúng lỗ hổng mất dữ liệu và gợi ý thêm cơ chế đánh dấu 'nguồn dữ liệu' (source tracking) cho từng trường. Tôi trừu tượng hóa lại: thiết kế DTO `VoiceFieldSuggestion` chứa `fieldName`, `suggestedValue`, `confidence`, và cờ `isUserEdited` (boolean) cho từng trường độc lập. Nếu bác sĩ đã tự gõ tay vào trường nào (`isUserEdited = true`), AI tuyệt đối không được ghi đè lên trường đó nữa, chỉ hiển thị gợi ý mới dưới dạng badge nhỏ 'AI đề xuất: ...' để bác sĩ chủ động bấm chấp nhận nếu muốn.  
Decision: Áp dụng mô hình DTO gợi ý theo từng trường có cờ `isUserEdited` để AI và bác sĩ cùng ghi dữ liệu an toàn song song mà không ghi đè lẫn nhau.</t>
  </si>
  <si>
    <t>Mã nguồn VoiceFieldSuggestion.java</t>
  </si>
  <si>
    <t>Áp dụng lại mẫu giao diện tìm kiếm nhanh (Searchable Combobox Pattern) cho màn hình chọn thuốc kê đơn, thay thế danh sách thả xuống cồng kềnh cũ</t>
  </si>
  <si>
    <t>The medicine selection dropdown in the Prescription form is a plain HTML select listing all 500+ medicines in the pharmacy alphabetically. Doctors say it's painful to scroll through. Suggest a better UI pattern and show me how to implement it.</t>
  </si>
  <si>
    <t>Claude gợi ý giữ nguyên dạng danh sách thả xuống (dropdown) như cũ, chỉ thêm chức năng nhóm thuốc theo chữ cái đầu (A-Z) bằng các optgroup để dễ tìm hơn một chút.</t>
  </si>
  <si>
    <t>Critical Thinking: Việc gom nhóm theo chữ cái đầu bằng optgroup của thẻ select HTML chỉ giảm nhẹ độ dài cuộn nhưng vẫn buộc bác sĩ phải biết chính xác thuốc bắt đầu bằng chữ gì và cuộn thủ công, không giải quyết gốc rễ vấn đề UX của danh sách cồng kềnh 500+ mục.  
Contextualization: Bác sĩ da liễu thường nhớ thuốc theo công dụng hoặc tên thương mại quen thuộc, không nhớ chính xác thứ tự alphabet, cần thao tác gõ tìm nhanh trong lúc khám bận rộn.  
Creative Synthesis: Tôi nhận diện đây là bài toán UI đã gặp dạng tương tự ở tính năng tìm bệnh nhân trước đây — cùng thuộc nhóm mẫu Searchable Combobox Pattern. Tôi thay thế hoàn toàn thẻ `&lt;select&gt;` bằng component tìm kiếm gõ-để-lọc (`MedicineCombobox`), cho phép bác sĩ gõ vài ký tự bất kỳ (tên thuốc, hoạt chất, hoặc công dụng) để lọc tức thời danh sách xuống còn vài kết quả khớp, hiển thị kèm tồn kho hiện tại ngay trong dropdown gợi ý.  
Decision: Tái sử dụng Searchable Combobox Pattern cho màn hình chọn thuốc, loại bỏ hoàn toàn thẻ select tĩnh cũ.</t>
  </si>
  <si>
    <t>Mã nguồn MedicineCombobox.tsx</t>
  </si>
  <si>
    <t>Thuật toán đồng bộ trạng thái xác nhận lịch khám giữa Bác sĩ và Kỹ thuật viên để khắc phục tình trạng luồng hoạt động bị lệch/xung đột trạng thái</t>
  </si>
  <si>
    <t>Both the Doctor and Technician have calendar screens where they must confirm an appointment before it's considered locked-in. Sometimes both confirm at almost the same time, or one cancels while the other is mid-confirmation, and the appointment ends up in an inconsistent state. Help me design correct synchronization logic for this confirmation flow.</t>
  </si>
  <si>
    <t>Claude viết logic đơn giản: mỗi màn hình (Bác sĩ, Kỹ thuật viên) tự cập nhật trực tiếp một cột `confirmed_by_doctor` và `confirmed_by_technician` riêng lẻ trong bảng `Appointments`, ai bấm xác nhận trước thì set cột tương ứng thành true, không có bước kiểm tra chéo nào khác.</t>
  </si>
  <si>
    <t>Critical Thinking: Hai cột cờ độc lập không có bất kỳ ràng buộc trạng thái tổng thể nào cho phép xảy ra tình huống phi lý: Kỹ thuật viên đã hủy ca khám (set trạng thái CANCELLED) đúng lúc Bác sĩ đang bấm xác nhận, dẫn đến `confirmed_by_doctor = true` trên một ca đã bị hủy, hệ thống rơi vào trạng thái mâu thuẫn không rõ ca này còn hiệu lực hay không.  
Contextualization: Lịch khám phòng khám da liễu vận hành với nhịp độ nhanh, hai vai trò thao tác gần như đồng thời trên cùng một bản ghi lịch hẹn.  
Creative Synthesis: Tôi bỏ hoàn toàn hai cột cờ rời rạc của AI, áp dụng lại tư duy Máy trạng thái (Finite State Machine) đã dùng cho luồng khám bệnh trước đây. Định nghĩa Enum trạng thái tập trung: `PENDING -&gt; DOCTOR_CONFIRMED -&gt; FULLY_CONFIRMED` song song nhánh `CANCELLED` có thể xảy ra từ bất kỳ trạng thái nào trừ `FULLY_CONFIRMED`. Mọi thao tác chuyển trạng thái đều đi qua một câu lệnh Update nguyên tử có điều kiện ở tầng Database: `UPDATE Appointments SET status = :newStatus WHERE id = :id AND status = :expectedCurrentStatus`, nếu số dòng ảnh hưởng trả về là 0 nghĩa là trạng thái đã bị người khác đổi trước đó, hệ thống báo lỗi 'Trạng thái đã thay đổi, vui lòng tải lại' thay vì âm thầm ghi đè.  
Decision: Thay thế cặp cờ boolean rời rạc bằng Máy trạng thái tập trung kết hợp Atomic Conditional Update để đảm bảo tính nhất quán luồng xác nhận lịch khám.</t>
  </si>
  <si>
    <t>Mã nguồn AppointmentStatus Enum &amp; AppointmentService.java</t>
  </si>
  <si>
    <t>Nhận diện và áp dụng mẫu Lịch kéo-chọn (Drag-to-select Calendar Pattern) trực quan để thay thế form nhập lịch thủ công cồng kềnh của Admin khi tạo ca làm cho nhân viên</t>
  </si>
  <si>
    <t>Right now, Admin creates staff schedules by filling in a form: pick employee, pick date, type start time, type end time, click save, repeat for every shift. It's slow and error-prone for a whole week of scheduling. I want Admin to just see a full calendar grid and drag across time slots to create shifts, similar to tools like Google Calendar or Calendly.</t>
  </si>
  <si>
    <t>Claude cung cấp một component lịch tùy chỉnh tự viết từ đầu (custom-built calendar grid), tự tính toán tọa độ pixel để xác định ô thời gian khi kéo chuột, không dùng thư viện lịch có sẵn nào.</t>
  </si>
  <si>
    <t>Critical Thinking: Tự viết toàn bộ logic tính toán tọa độ pixel, xử lý sự kiện kéo-thả, cuộn ngang/dọc, và render lưới thời gian từ đầu là khối lượng công việc khổng lồ, tiềm ẩn rất nhiều bug về căn chỉnh (off-by-one pixel) và không đáng để tự làm lại trong khi đã có giải pháp thư viện trưởng thành cho đúng bài toán này.  
Contextualization: Thời gian còn lại của sprint không đủ để tự xây và kiểm thử kỹ một thư viện lịch kéo-chọn từ con số 0 mà vẫn đảm bảo không có lỗi hiển thị.  
Creative Synthesis: Tôi nhận diện đây chính xác là bài toán đã được giải quyết chuẩn mực bởi thư viện mã nguồn mở `FullCalendar` (plugin `interactionPlugin` hỗ trợ sẵn tính năng `selectable` kéo-chọn khoảng thời gian). Tôi thay thế hoàn toàn hướng tự viết của AI, tích hợp `FullCalendar` với chế độ `timeGridWeek`, bật `selectable: true` để Admin kéo chuột chọn khoảng giờ trực tiếp trên lưới, sự kiện `select` trả về sẵn `start`/`end` chính xác để gọi API tạo ca làm, không cần tự tính pixel.  
Decision: Tái sử dụng thư viện lịch trưởng thành FullCalendar với chế độ kéo-chọn thay vì tự xây dựng lịch từ đầu.</t>
  </si>
  <si>
    <t>Mã nguồn StaffRosterCalendar.tsx tích hợp FullCalendar</t>
  </si>
  <si>
    <t>Trừu tượng hóa cơ chế hiển thị ảnh dự phòng (fallback) khi ảnh bị vỡ và tối ưu chiến lược tải ảnh để tăng độ mượt tổng thể cho web</t>
  </si>
  <si>
    <t>Several images across the app (patient avatars, medicine thumbnails, skin scan history photos) show broken image icons whenever the source URL is stale or the Cloudinary asset was deleted. Also, the pages with lots of images feel sluggish when scrolling. Help me fix both the broken image issue and improve loading performance.</t>
  </si>
  <si>
    <t>Claude gợi ý dùng prop `fallbackSrc` có sẵn của component `&lt;Image&gt;` trong Next.js, chỉ cần truyền thêm một đường dẫn ảnh dự phòng vào prop này là component sẽ tự động chuyển sang ảnh thay thế khi ảnh gốc lỗi.</t>
  </si>
  <si>
    <t>Critical Thinking: Tôi đưa đoạn code này cho ChatGPT đánh giá lại sau khi Claude vừa code xong, ChatGPT chỉ ra rằng component `&lt;Image&gt;` chính thức của Next.js không hề có prop `fallbackSrc` như Claude khẳng định — đây là một ảo giác API. Khi build thử, TypeScript báo lỗi prop không tồn tại trên type `ImageProps`.  
Contextualization: Toàn hệ thống dùng rất nhiều vị trí hiển thị ảnh (avatar, thuốc, lịch sử soi da), cần một giải pháp tập trung xử lý lỗi ảnh vỡ đồng nhất mà không phụ thuộc vào một prop không có thật.  
Creative Synthesis: Tôi trừu tượng hóa lại bằng cách tự xây một component bọc `SafeImage` sử dụng sự kiện `onError` thực tế có sẵn của thẻ ảnh: khi ảnh gốc load lỗi, state nội bộ chuyển sang dùng một ảnh placeholder cục bộ đã lưu sẵn trong dự án (không phụ thuộc mạng ngoài). Đồng thời, để tối ưu độ mượt cuộn trang, tôi bật `loading="lazy"` mặc định cho toàn bộ ảnh nằm ngoài khung nhìn ban đầu, dùng `next/image` với kích thước responsive chuẩn (`sizes` khai báo rõ) để trình duyệt không phải tải ảnh full-size cho các thumbnail nhỏ.  
Decision: Xây dựng component `SafeImage` trung tâm dùng `onError` thực tế thay cho prop hư cấu, kết hợp lazy-loading toàn diện để tối ưu hiệu năng cuộn trang.</t>
  </si>
  <si>
    <t>Mã nguồn SafeImage.tsx</t>
  </si>
  <si>
    <t>Phân rã toàn bộ hệ thống thành các module để lập kế hoạch rà soát (audit) có hệ thống trước khi báo cáo tiến độ giữa kỳ</t>
  </si>
  <si>
    <t>I've been building this Dermatology Clinic system incrementally over 10 weeks (Auth, Scheduling, Billing/Voucher, AI Skin Scan, Chatbot, Voice-to-Form, Admin Calendar, UI polish...). Before I write my mid-project audit report, help me decompose the entire codebase into a structured checklist of modules and cross-cutting concerns I should systematically review for bugs, security gaps, and inconsistencies.</t>
  </si>
  <si>
    <t>Claude liệt kê một checklist phẳng gồm khoảng 40 mục nhỏ lẻ liệt kê gần như từng file/từng hàm trong dự án, không phân nhóm theo mức độ ưu tiên hay theo lớp kiến trúc (tầng dữ liệu / nghiệp vụ / giao diện).</t>
  </si>
  <si>
    <t>Critical Thinking: Danh sách phẳng 40 mục không phân nhóm sẽ khiến việc rà soát mất phương hướng, dễ bỏ sót các module quan trọng (ảnh hưởng bảo mật/tài chính) trong khi dành quá nhiều thời gian cho các mục ít quan trọng (như đổi icon).  Contextualization: Thời gian audit giữa kỳ có hạn, cần ưu tiên rà soát các phân hệ ảnh hưởng trực tiếp đến dữ liệu tài chính (Voucher, Billing) và bảo mật y tế (RBAC, upload ảnh) trước, các mục thẩm mỹ UI có thể rà soát sau.  Creative Synthesis: Tôi phân rã lại checklist theo 3 tầng kiến trúc (Data Layer, Business Logic Layer, UI/UX Layer) và gắn nhãn mức độ ưu tiên (Critical/Medium/Low) cho từng nhóm: nhóm Critical gồm RBAC &amp; phân quyền, Voucher/Billing concurrency, bảo mật ảnh y tế; nhóm Medium gồm đồng bộ trạng thái lịch khám, chatbot routing; nhóm Low gồm UI/icon/hiệu ứng kính mờ.  Decision: Áp dụng checklist audit phân tầng theo mức độ ưu tiên thay vì danh sách phẳng, tập trung nguồn lực rà soát vào nhóm Critical trước.</t>
  </si>
  <si>
    <t>Bảng checklist audit phân tầng (AuditPlan.md)</t>
  </si>
  <si>
    <t>Nhận diện các đoạn logic trùng lặp/không nhất quán giữa nhiều module đã code qua các tuần khác nhau</t>
  </si>
  <si>
    <t>Scan through my Voucher validation logic (Week 7), the Appointment confirmation state machine (Week 10), and the original OTP verification logic (Week 2). I suspect there's duplicated or inconsistent validation/locking logic across these three modules built at different times. Help me identify the overlapping patterns.</t>
  </si>
  <si>
    <t>Claude liệt kê nhận xét cả 3 module này có vẻ ổn định, kết luận không cần thay đổi gì vì mỗi module đã hoạt động đúng chức năng của nó khi được viết riêng lẻ.</t>
  </si>
  <si>
    <t>Critical Thinking: Kết luận "ổn định, không cần đổi" của AI bỏ qua đúng trọng tâm câu hỏi — không phải từng module có bug riêng lẻ, mà là cả 3 module đều tự triển khai lại cùng một khuôn mẫu kiểm tra ràng buộc điều kiện nguyên tử tại DB (Atomic Conditional Update: voucher usage, appointment status, OTP attempt) theo 3 cách viết code khác nhau, gây khó bảo trì và dễ phát sinh bug khi sửa một chỗ mà quên chỗ khác.  Contextualization: Dự án đã qua 10 tuần phát triển tăng dần, các pattern tương tự thường được "phát minh lại" độc lập ở từng tuần vì lúc viết chưa nhìn thấy bức tranh tổng thể.  Creative Synthesis: Tôi nhận diện đây là cùng một mẫu chung: "Optimistic Guard: Update-If-Condition-Still-Holds". Tôi trừu tượng hóa 3 cách viết rời rạc thành một phương thức tiện ích chung `ConditionalAtomicUpdateHelper` ở tầng Repository, nhận vào điều kiện SQL động, tái sử dụng cho cả 3 module thay vì viết lại JPQL tương tự 3 lần.  Decision: Hợp nhất pattern kiểm tra điều kiện nguyên tử rải rác thành một helper dùng chung, giảm trùng lặp mã nguồn giữa 3 module.</t>
  </si>
  <si>
    <t>Mã nguồn ConditionalAtomicUpdateHelper.java; diff refactor 3 module</t>
  </si>
  <si>
    <t>Kiểm thử hồi quy (regression testing) phát hiện xung đột giữa tính năng AI nghe giọng nói tự điền form (Tuần 10) và luồng State Machine xác nhận ca khám cũ (Tuần 9)</t>
  </si>
  <si>
    <t>Write a regression test scenario to check whether the new Voice-to-Form auto-fill feature (Week 10) could interfere with the existing Consultation State Machine (Week 9), specifically around the moment a doctor finalizes a consultation while the AI voice pipeline is still processing the tail end of the conversation.</t>
  </si>
  <si>
    <t>Claude viết test giả định một luồng đơn giản: bác sĩ nói xong rồi bấm 'Hoàn tất' ngay, kiểm tra AI đã điền xong form chưa là đủ, kết luận không có xung đột vì 'AI luôn xử lý nhanh hơn thao tác tay của con người'.</t>
  </si>
  <si>
    <t>Critical Thinking: Giả định "AI luôn nhanh hơn" là một giả định lạc quan không có cơ sở kiểm chứng — nếu mạng chậm hoặc audio dài, transcript có thể trả về SAU khi bác sĩ đã bấm "Hoàn tất" và consultation đã chuyển sang trạng thái COMPLETED (khóa), lúc đó field suggestion đến trễ sẽ cố gắng ghi vào một bản ghi đã đóng băng, có thể gây lỗi hoặc dữ liệu mồ côi.  Contextualization: Tốc độ mạng và độ dài buổi khám thực tế dao động rất lớn, không thể giả định thời gian xử lý AI luôn nhanh hơn thao tác người dùng.  Creative Synthesis: Tôi tự viết lại kịch bản test thực tế hơn: giả lập transcript trả về TRỄ 3 giây sau khi trạng thái ca khám đã chuyển COMPLETED. Kết quả tái hiện đúng lỗi: hệ thống vẫn cố insert gợi ý vào bản ghi đã khóa, ném lỗi ẩn (silent fail) không ai biết. Tôi sửa `VoiceFieldSuggestion` service để kiểm tra trạng thái ca khám hiện tại trước khi ghi gợi ý; nếu ca đã `FULLY_CONFIRMED`/`COMPLETED`, hệ thống loại bỏ gợi ý trễ và ghi log cảnh báo thay vì cố ghi đè.  Decision: Bổ sung điều kiện chặn ghi gợi ý giọng nói trễ vào các ca khám đã đóng để tránh xung đột giữa 2 tính năng được xây ở 2 tuần khác nhau.</t>
  </si>
  <si>
    <t>Test case VoiceLateArrival_Test.java; log lỗi tái hiện trước khi sửa</t>
  </si>
  <si>
    <t>Trừu tượng hóa lại tầng kiểm tra phân quyền (RBAC) rải rác để rà soát tính nhất quán bảo mật xuyên suốt toàn dự án</t>
  </si>
  <si>
    <t>Audit the authorization checks across all controllers in the project (Doctor, Technician, Receptionist, Admin endpoints) built across different weeks. I want to know if role-checking is consistent everywhere before I present this project.</t>
  </si>
  <si>
    <t>Claude báo cáo rằng toàn bộ endpoint 'đều đã có kiểm tra role đầy đủ và nhất quán', không phát hiện vấn đề gì.</t>
  </si>
  <si>
    <t>Critical Thinking: Kết luận 'nhất quán' của AI là hời hợt — khi tôi tự tay kiểm tra thủ công từng file, phát hiện 2 endpoint được thêm vội ở Tuần 10 (endpoint lấy gợi ý giọng nói và endpoint upload ảnh SafeImage fallback) hoàn toàn KHÔNG có annotation `@PreAuthorize` như các endpoint khác, có thể bị gọi trực tiếp bởi bất kỳ ai có token hợp lệ dù không đúng vai trò.  Contextualization: Các tính năng thêm vội trong tuần nước rút thường bị bỏ sót bước bảo mật chuẩn vì tập trung vào chức năng chính trước.  Creative Synthesis: Thay vì rà soát thủ công từng endpoint (dễ sót như AI vừa làm), tôi trừu tượng hóa việc kiểm tra bảo mật thành một Unit Test tự động duy nhất: viết một bài test dùng Reflection quét toàn bộ class Controller trong package, xác nhận MỌI method public đều phải có annotation phân quyền, nếu thiếu thì test tự động FAIL và in ra tên method vi phạm.  Decision: Xây dựng bài kiểm thử tự động rà soát phân quyền toàn dự án bằng Reflection thay vì audit thủ công dễ bỏ sót.</t>
  </si>
  <si>
    <t>Mã nguồn SecurityCoverageTest.java; danh sách 2 endpoint thiếu @PreAuthorize</t>
  </si>
  <si>
    <t>Thuật toán kiểm thử tải (load test) mô phỏng đồng thời cho luồng đặt lịch + áp voucher để xác nhận các cơ chế chống tranh chấp dữ liệu qua nhiều tuần vẫn đứng vững</t>
  </si>
  <si>
    <t>Design a load test scenario in JMeter simulating 50 concurrent receptionists trying to book the last available appointment slot on a specific doctor's calendar while simultaneously applying a limited-quantity voucher, to confirm our concurrency-safety mechanisms from Week 6, 7 and 10 still hold when combined together.</t>
  </si>
  <si>
    <t>Claude đề xuất chạy test tuần tự (sequential), gửi từng request cách nhau 1 giây để 'đảm bảo an toàn và dễ debug log'.</t>
  </si>
  <si>
    <t>Critical Thinking: Test tuần tự với độ trễ 1 giây giữa các request hoàn toàn KHÔNG mô phỏng được tình huống thực tế cần kiểm tra — mục tiêu của load test là cố tình gây tranh chấp bằng cách bắn nhiều request THỰC SỰ đồng thời để phát hiện race condition, chạy tuần tự sẽ luôn cho kết quả "đúng" giả tạo dù logic có lỗi.  Contextualization: Race condition chỉ lộ ra khi nhiều luồng thực sự chạm vào cùng dữ liệu trong cùng khoảnh khắc, test cách nhau 1 giây sẽ không bao giờ kích hoạt được tình huống đó.  Creative Synthesis: Tôi tự thiết kế lại kịch bản test bằng cách dùng JMeter Thread Group với 50 luồng đồng thời, đồng bộ hóa thời điểm bắn request bằng `Synchronizing Timer` để đảm bảo cả 50 request THỰC SỰ chạm database trong cùng một mili-giây, sau đó kiểm tra: (1) chỉ đúng 1 request đặt được slot cuối, (2) chỉ đúng số lượng voucher còn lại được áp dụng thành công, phần dư bị từ chối đúng như thiết kế Atomic Update ở các tuần trước.  Decision: Áp dụng load test đồng thời thực sự bằng Synchronizing Timer thay vì test tuần tự giả tạo để xác thực đúng các cơ chế chống tranh chấp đã xây dựng.</t>
  </si>
  <si>
    <t>Kịch bản JMeter ConcurrentBookingVoucher.jmx; log kết quả xác nhận đúng 1 slot / đúng số voucher</t>
  </si>
  <si>
    <t>Nhận diện lại pattern giao diện chưa đồng bộ giữa các Dashboard được xây ở nhiều tuần khác nhau (Bác sĩ, Kỹ thuật viên, Lễ tân, Admin) trước khi tổng duyệt giao diện</t>
  </si>
  <si>
    <t>Take a step back and review the overall visual/UX consistency across the Doctor, Technician, Receptionist, and Admin dashboards, which were each built and polished in different weeks (Week 5, 6, 7, 8). Point out any inconsistencies I should unify before the final review.</t>
  </si>
  <si>
    <t>Claude liệt kê nhận xét chung chung 'giao diện đẹp, chuyên nghiệp, không có vấn đề gì đáng kể', không chỉ ra điểm khác biệt cụ thể nào.</t>
  </si>
  <si>
    <t>Critical Thinking: Nhận xét chung chung của AI không có giá trị thực tiễn cho việc tổng duyệt — tôi tự đối chiếu trực tiếp 4 giao diện cạnh nhau và phát hiện: Doctor/Technician Dashboard (tuần 8) dùng đúng phạm vi Liquid Glass đã giới hạn, nhưng Admin Dashboard (tuần 6, làm trước khi rút ra bài học giới hạn phạm vi ở tuần 8) vẫn còn áp kính mờ tràn lan lên cả bảng dữ liệu doanh thu, và bộ icon của Admin vẫn là icon cũ trước khi có `AppIcon` (tuần 8) vì lúc đó tuần 8 chỉ tập trung thay icon cho Bác sĩ/Kỹ thuật viên.  Contextualization: Vì dự án phát triển tăng dần qua nhiều tuần, các bài học rút ra ở tuần sau (giới hạn phạm vi kính mờ, hệ thống AppIcon) chưa được áp ngược lại cho các màn hình làm ở tuần trước đó.  Creative Synthesis: Tôi tự lập danh sách các điểm lệch chuẩn cụ thể theo từng màn hình (thay vì nhận xét chung chung như AI), rồi áp ngược lại 2 bài học đã chuẩn hóa: giới hạn Liquid Glass cho Admin Dashboard giống Doctor/Technician, và thay toàn bộ icon rời của Admin bằng `AppIcon` đã xây ở tuần 8.  Decision: Chuẩn hóa ngược (retrofit) hai pattern đã học được ở các tuần sau (giới hạn Liquid Glass, hệ thống AppIcon tập trung) vào các màn hình Admin được xây từ tuần trước đó.</t>
  </si>
  <si>
    <t>Bảng so sánh UI 4 Dashboard trước/sau chuẩn hóa; Mã nguồn AdminDashboardLayout.tsx cập nhật</t>
  </si>
  <si>
    <t>Phân rã báo cáo audit tổng kết thành roadmap khắc phục nợ kỹ thuật được sắp xếp theo mức độ ưu tiên cho các tuần tiếp theo</t>
  </si>
  <si>
    <t>Based on everything found during this audit week (missing @PreAuthorize, duplicated atomic-update logic, retrofit needed for Admin Liquid Glass/AppIcon, voice-to-form race condition), help me decompose all these findings into a structured remediation roadmap I can present in my audit report.</t>
  </si>
  <si>
    <t>Claude liệt kê tất cả các phát hiện thành một danh sách duy nhất xếp theo đúng thứ tự phát hiện (tức theo thứ tự Entry 001 đến 006), không phân theo mức độ nghiêm trọng hay effort cần thiết.</t>
  </si>
  <si>
    <t>Critical Thinking: Xếp theo thứ tự phát hiện thay vì theo mức độ nghiêm trọng khiến báo cáo audit trông lộn xộn — lỗ hổng bảo mật RBAC (Entry 004, nghiêm trọng, effort thấp) bị xếp sau các việc thẩm mỹ như retrofit UI Admin (Entry 006, effort cao hơn, ít nghiêm trọng hơn), dễ khiến hội đồng hiểu sai về mức độ ưu tiên thực sự của nhóm.  Contextualization: Báo cáo audit giữa kỳ cần thể hiện rõ tư duy ưu tiên rủi ro (risk-based prioritization), không chỉ là một nhật ký liệt kê phát hiện.  Creative Synthesis: Tôi phân rã lại toàn bộ 6 phát hiện thành ma trận 2 chiều Mức độ nghiêm trọng (Cao/Trung bình/Thấp) x Effort khắc phục (Cao/Thấp), xếp thứ tự xử lý: (1) Bổ sung @PreAuthorize còn thiếu — Cao/Thấp, làm ngay; (2) Chặn race condition Voice-to-Form — Cao/Trung bình; (3) Hợp nhất Atomic Update Helper — Trung bình/Trung bình; (4) Retrofit Liquid Glass/AppIcon cho Admin — Thấp/Trung bình, có thể dời sang sprint sau.  Decision: Trình bày roadmap khắc phục theo ma trận Mức độ nghiêm trọng x Effort thay vì liệt kê theo thứ tự phát hiện.</t>
  </si>
  <si>
    <t>Bảng ma trận ưu tiên AuditRoadmap.xlsx</t>
  </si>
  <si>
    <t>HALLUCINATION DETECTION LOG - ALL WEEKS (BẮT BUỘC)</t>
  </si>
  <si>
    <t>Tổng hợp toàn bộ các case hallucination đã phát hiện qua 11 tuần dự án. Mỗi project phải phát hiện ít nhất 3 case; tổng dự án đã phát hiện được nhiều hơn mức tối thiểu này.</t>
  </si>
  <si>
    <t>Entry # (from Sheet 2)</t>
  </si>
  <si>
    <t>Hallucination Type</t>
  </si>
  <si>
    <t>AI's Claim</t>
  </si>
  <si>
    <t>Reality Check</t>
  </si>
  <si>
    <t>How Detected</t>
  </si>
  <si>
    <t>Corrective Action</t>
  </si>
  <si>
    <t>Fabrication</t>
  </si>
  <si>
    <t>AI khuyên dùng thư viện kết nối và gọi đến 'Google DermAssist Open API' để triển khai tính năng phân tích hình ảnh soi da hoàn toàn miễn phí.</t>
  </si>
  <si>
    <t>Google DermAssist hiện tại là một dự án nghiên cứu nội bộ thuộc Google Health và hoàn toàn KHÔNG cung cấp Open API công khai cho bên thứ ba hoặc sinh viên lập trình.</t>
  </si>
  <si>
    <t>Tiến hành tra cứu tài liệu chính thức trên Google Cloud Console và trang chủ Google Health nhưng không tìm thấy bất kỳ tài liệu kỹ thuật nào về API này.</t>
  </si>
  <si>
    <t>Chuyển hướng sang phương án tự xây dựng model nhận diện nhỏ bằng Python cài đặt trên máy chủ hoặc sử dụng một mô hình Image Classification mã nguồn mở thay thế.</t>
  </si>
  <si>
    <t>N/A</t>
  </si>
  <si>
    <t>Context Misunderstanding</t>
  </si>
  <si>
    <t>AI khẳng định giải pháp tốt nhất cho hệ thống quản lý phòng khám này là triển khai theo kiến trúc Microservices tách rời, quản lý bằng Docker và Kubernetes.</t>
  </si>
  <si>
    <t>Đây chỉ là một đồ án môn học SWP391 với quy mô nhóm 5 sinh viên thực hiện trong vài tháng. Kiến trúc Microservices là sự phức tạp hóa không cần thiết (Over-engineering), gây quá tải hạ tầng.</t>
  </si>
  <si>
    <t>Đánh giá và đối chiếu lại các giới hạn cốt lõi của dự án (Project Constraints) bao gồm thời gian bàn giao, nhân lực và yêu cầu thực tế của môn học.</t>
  </si>
  <si>
    <t>Bác bỏ đề xuất của AI, chốt thiết kế hệ thống theo kiến trúc Monolithic truyền thống kết hợp pattern MVC để dễ dàng kiểm soát, kiểm thử và deploy.</t>
  </si>
  <si>
    <t>Logic Error</t>
  </si>
  <si>
    <t>AI khẳng định thuật toán kiểm tra trùng lịch hẹn phòng khám chỉ cần thực hiện câu lệnh truy vấn SQL: `WHERE Appointment_Time = New_Time` là đủ.</t>
  </si>
  <si>
    <t>Thuật toán này bị sai logic toán học nghiêm trọng. Lịch hẹn bị giao nhau (overlap) xảy ra cả khi thời gian bắt đầu của ca mới nằm giữa khoảng thời gian khám của một ca cũ đã tồn tại.</t>
  </si>
  <si>
    <t>Vẽ trục thời gian trực quan ra giấy để chạy thử nghiệm các testcase biên (ví dụ: ca khám cũ kéo dài 30 phút bắt đầu từ 8:45 sẽ đè lên ca mới lúc 9:00).</t>
  </si>
  <si>
    <t>Tự viết lại logic kiểm tra toán học theo thuật toán Overlapping Intervals chuẩn xác: `A.start &lt; B.end AND A.end &gt; B.start`.</t>
  </si>
  <si>
    <t>MySQL tích hợp sẵn bảng ảo bảo mật `PASSWORD_VALIDATOR_SECURE` tự động mã hóa mật khẩu khi INSERT vào DB mà không cần code mã hóa ở tầng Java.</t>
  </si>
  <si>
    <t>MySQL hoàn toàn KHÔNG có bảng ảo hay feature nào như vậy. Đây là thông tin do AI bịa đặt hoàn toàn. MySQL không tự mã hóa password — đây là trách nhiệm của tầng Application.</t>
  </si>
  <si>
    <t>Khi viết SQL gọi thử `SELECT * FROM PASSWORD_VALIDATOR_SECURE` trong MySQL Workbench → lỗi ngay: `Table 'db.PASSWORD_VALIDATOR_SECURE' doesn't exist`. Tra cứu MySQL 8.0 Official Docs không có feature này.</t>
  </si>
  <si>
    <t>Bác bỏ hoàn toàn, tự implement mã hóa đúng chuẩn tại tầng Java Backend dùng Spring Security BCryptPasswordEncoder. Không dựa vào bất kỳ feature DB nào không có trong official docs.</t>
  </si>
  <si>
    <t>Code xác thực mật khẩu BCrypt bằng cách hash lại raw password rồi so sánh bằng toán tử `==`: `BCrypt.hashpw(rawPassword, storedHash) == storedHash`.</t>
  </si>
  <si>
    <t>BCrypt dùng Salt ngẫu nhiên — cùng password hash 2 lần cho ra 2 chuỗi hoàn toàn khác nhau. Toán tử `==` so sánh chuỗi ký tự (không phải semantic equality) sẽ luôn trả về false → tài khoản không bao giờ đăng nhập được dù mật khẩu đúng.</t>
  </si>
  <si>
    <t>Chạy Unit Test đăng nhập với mật khẩu đúng → hệ thống liên tục báo 'Sai mật khẩu'. Debug log phát hiện `BCrypt.hashpw()` trả về hash string khác với `storedHash` mỗi lần gọi. Tra cứu BCrypt documentation xác nhận cơ chế salt động.</t>
  </si>
  <si>
    <t>Xóa bỏ code lỗi, thay bằng `passwordEncoder.matches(rawPassword, encodedPassword)` của Spring Security. Method này hiểu salt động và verify đúng. Viết Unit Test confirm fix hoạt động.</t>
  </si>
  <si>
    <t>Outdated Info</t>
  </si>
  <si>
    <t>Hướng dẫn cấu hình Spring Security bằng cách kế thừa class `WebSecurityConfigurerAdapter` và override method `configure(HttpSecurity http)`.</t>
  </si>
  <si>
    <t>Class `WebSecurityConfigurerAdapter` đã bị đánh dấu @Deprecated từ Spring Security 5.7 và bị xóa hoàn toàn khỏi Spring Security 6.x (Spring Boot 3.x). Project đang dùng Spring Boot 3.x nên class này không tồn tại.</t>
  </si>
  <si>
    <t>Import `WebSecurityConfigurerAdapter` vào project Spring Boot 3.x → IDE báo lỗi đỏ ngay: 'Cannot resolve symbol WebSecurityConfigurerAdapter'. Tra cứu Spring Security 6 Migration Guide xác nhận class đã bị remove.</t>
  </si>
  <si>
    <t>Viết lại Security config theo cách mới của Spring Security 6: khai báo `@Bean SecurityFilterChain filterChain(HttpSecurity http)` thay vì extend adapter. Tra cứu Spring Security 6 official docs để implement đúng.</t>
  </si>
  <si>
    <t>Logic Error / Security</t>
  </si>
  <si>
    <t>AI hướng dẫn sinh mã OTP ngẫu nhiên bằng cách gọi hàm toán học cơ bản: `int otp = new Random().nextInt(999999);` và khẳng định giải pháp này an toàn tuyệt đối.</t>
  </si>
  <si>
    <t>Hàm `Random` trong Java sử dụng thuật toán giả ngẫu nhiên tuyến tính (PRNG) dựa trên mốc thời gian hệ thống, hoàn toàn có thể bị hacker dự đoán được chuỗi số tiếp theo. Ngoài ra, nếu số sinh ra nhỏ hơn 100000, chuỗi trả về chỉ có 4 hoặc 5 chữ số, phá vỡ định dạng 6 chữ số quy chuẩn.</t>
  </si>
  <si>
    <t>Khi chạy thử nghiệm sinh mã hàng loạt, hệ thống phát hiện có mã bị thiếu số (chỉ có 4 chữ số) và khi đọc tài liệu bảo mật OWASP thấy khuyến cáo nghiêm cấm dùng `Random` cho mã xác thực.</t>
  </si>
  <si>
    <t>Sửa lại mã nguồn, sử dụng lớp bảo mật mật mã chuyên dụng `SecureRandom` kết hợp chuỗi định dạng bọc số không ở đầu: `String.format("%06d", secureRandom.nextInt(1000000))`.</t>
  </si>
  <si>
    <t>AI khẳng định giải pháp tốt nhất để cập nhật widget biểu đồ doanh thu theo thời gian thực trên Dashboard của Admin là mở kết nối WebSockets liên tục để lắng nghe thay đổi dữ liệu từng mili-giây.</t>
  </si>
  <si>
    <t>Dashboard của Admin quản lý vĩ mô chỉ cần số liệu cập nhật định kỳ hoặc khi tải lại trang. Việc bắt server duy trì một kết nối socket liên tục chỉ để đẩy số liệu doanh thu nhảy số theo mili-giây gây lãng phí tài nguyên CPU và băng thông mạng vô ích (Over-engineering).</t>
  </si>
  <si>
    <t>Phân tích hành vi tương tác thực tế của người dùng Admin: Admin không ngồi canh biểu đồ nhảy từng đồng theo giây, mà chỉ xem báo cáo báo cáo theo phiên làm việc.</t>
  </si>
  <si>
    <t>Bác bỏ đề xuất WebSockets của AI cho widget doanh thu, giữ nguyên cơ chế gọi API Restful thông thường kết hợp bộ nhớ đệm cache ngắn hạn (5 phút) tại server để tối ưu hiệu năng.</t>
  </si>
  <si>
    <t>AI hướng dẫn cài đặt gói thư viện CSS bên thứ ba mang tên `tailwindcss-dashboard-presets-medical` để tự động render nhanh các widget chuyên dụng cho phòng khám da liễu.</t>
  </si>
  <si>
    <t>Trên thực tế hệ thống quản lý npm và kho tiện ích Tailwind CSS hoàn toàn KHÔNG tồn tại bất kỳ gói thư viện nào có tên là `tailwindcss-dashboard-presets-medical`. Đây là gói thư viện do AI tự tưởng tượng ra tên gọi.</t>
  </si>
  <si>
    <t>Khi gõ lệnh chạy cài đặt `npm install tailwindcss-dashboard-presets-medical`, hệ thống terminal lập tức trả về lỗi đỏ thông báo lỗi `ERR! 404 Not Found - Gói thư viện không tồn tại trên hệ thống đăng ký`.</t>
  </si>
  <si>
    <t>Xóa bỏ câu lệnh lỗi, tự tiến hành thiết kế và lập trình thủ công cấu trúc các widget giao diện y tế bằng các class core nền tảng chuẩn chỉnh có sẵn của Tailwind CSS.</t>
  </si>
  <si>
    <t>ChatGPT khẳng định bộ thư viện Spring Data JPA cung cấp một annotation tích hợp sẵn là `@OptimisticLockRetry(maxAttempts = 3)` dùng để đính kèm lên phương thức của Service, giúp tự động thực hiện lại câu lệnh lưu dữ liệu bệnh án nếu xảy ra xung đột phiên bản (version conflict).</t>
  </si>
  <si>
    <t>Trong thực tế, bộ khung Spring Data JPA hay Hibernate hoàn toàn KHÔNG tồn tại bất kỳ annotation nào mang tên `@OptimisticLockRetry`. Đây là một annotation do AI tự bịa đặt ra tên gọi và cơ chế hoạt động.</t>
  </si>
  <si>
    <t>Khi tiến hành gõ annotation này vào mã nguồn Java trong môi trường IDE, trình biên dịch lập tức báo lỗi đỏ toàn bộ hệ thống vì không thể import được class thư viện này từ bất kỳ package nào.</t>
  </si>
  <si>
    <t>Xóa bỏ annotation hư cấu của AI, tự tiến hành viết một khía cạnh lập trình hướng khía cạnh (AOP Aspect) tùy chỉnh sử dụng `@Around` hoặc viết vòng lặp catch lỗi `ObjectOptimisticLockingFailureException` thủ công trong mã nguồn Java để tự thực hiện lại thao tác lưu dữ liệu (retry logic) tối đa 3 lần một cách chính thống.</t>
  </si>
  <si>
    <t>Claude viết câu lệnh JPQL để lấy danh sách lịch làm việc và số lượng lịch hẹn hiện tại của Bác sĩ bằng phép kết nối chặt INNER JOIN giữa hai bảng Doctor và Appointment: `SELECT d FROM Doctor d INNER JOIN d.appointments a` và khẳng định câu lệnh này load đầy đủ thông tin màn hình bác sĩ.</t>
  </si>
  <si>
    <t>Câu lệnh JPQL này sai hoàn toàn về mặt logic toán học tập hợp. Phép kết nối INNER JOIN sẽ tự động loại bỏ (loại trừ hoàn toàn) những bác sĩ nào hiện tại chưa có bất kỳ lịch hẹn nào trong hệ thống, khiến họ bị biến mất hoàn toàn khỏi trang danh sách điều phối của phòng khám.</t>
  </si>
  <si>
    <t>Khi kiểm tra giao diện chạy thử nghiệm hệ thống vào đầu ngày (khi chưa có bệnh nhân nào đặt lịch khám), màn hình danh sách bác sĩ trống trơn không hiển thị bất kỳ một nhân sự y tế nào.</t>
  </si>
  <si>
    <t>Sửa lại logic truy vấn cơ sở dữ liệu, thay thế từ khóa `INNER JOIN` bằng phép kết nối mở rộng `LEFT JOIN FETCH` để đảm bảo hệ thống load đầy đủ toàn bộ danh sách bác sĩ y tế, bất kể họ đã có lịch hẹn hay chưa.</t>
  </si>
  <si>
    <t>ChatGPT hướng dẫn cấu hình quản lý giao dịch (Transaction Management) cho module kê đơn thuốc phức tạp của bác sĩ bằng cách khai báo thẻ cấu hình dạng XML cổ điển `&lt;tx:advice&gt;` và quét package trong file định hình hệ thống Spring Boot 3.x.</t>
  </si>
  <si>
    <t>Cơ chế cấu hình giao dịch bằng tệp tin XML thô đã lỗi thời từ hơn 10 năm trước và hoàn toàn không còn được khuyến cáo sử dụng trong các hệ thống Spring Boot 3.x hiện đại ngày nay (vốn chuyển dịch 100% sang cấu hình bằng mã Java Annotation).</t>
  </si>
  <si>
    <t>Khi đối chiếu kịch bản XML này với đánh giá của Gemini, Gemini lập tức đưa ra cảnh báo mã nguồn này cực kỳ lạc hậu, làm mất đi tính cấu trúc gọn nhẹ và phá vỡ kiến trúc thuần Annotation của dự án Spring Boot hiện tại.</t>
  </si>
  <si>
    <t>Trục xuất toàn bộ đoạn cấu hình XML lạc hậu của AI, thay thế bằng giải pháp quản lý giao dịch khai báo hiện đại bằng cách đính kèm annotation `@Transactional(rollbackFor = Exception.class)` trực tiếp ngay phía trên đầu phương thức xử lý nghiệp vụ y tế cấp phát đơn thuốc.</t>
  </si>
  <si>
    <t>ChatGPT khẳng định bộ khung Tailwind CSS hỗ trợ các class mang tên `backdrop-blur-liquid` và `animate-glass-fluid`.</t>
  </si>
  <si>
    <t>Trong thực tế core chính thức của Tailwind CSS hoàn toàn KHÔNG tồn tại các class CSS này.</t>
  </si>
  <si>
    <t>Khi viết các class này vào dự án Next.js, giao diện card bị trơ và hệ thống báo lỗi không compile được.</t>
  </si>
  <si>
    <t>Tự mở file cấu hình `tailwind.config.js` để tự định nghĩa các thuộc tính CSS keyframes bằng mã tay chính thống.</t>
  </si>
  <si>
    <t>Claude khẳng định giải pháp tối cao bắt buộc phải triển khai một cụm hệ thống phân tán Apache Kafka độc lập để stream gói tin.</t>
  </si>
  <si>
    <t>Đây chỉ là đồ án môn học nội bộ quy mô sinh viên (SWP391), dựng Kafka đồ sộ là hành vi over-engineering gây lãng phí.</t>
  </si>
  <si>
    <t>Đối chiếu kịch bản hạ tầng với công cụ kiểm duyệt Gemini, Gemini phê phán kịch bản Kafka là bất khả thi.</t>
  </si>
  <si>
    <t>Bác bỏ Claude, chuyển dịch sang giải pháp Server-Sent Events (SSE) tích hợp sẵn trong Spring Boot cực kỳ gọn nhẹ.</t>
  </si>
  <si>
    <t>ChatGPT cung cấp mã nguồn kéo thả sử dụng bộ thư viện cũ `react-beautiful-dnd`.</t>
  </si>
  <si>
    <t>Thư viện này đã bị khai tử và hoàn toàn không tương thích với Concurrent Mode của React 18 / Next.js hiện đại.</t>
  </si>
  <si>
    <t>Khi khởi động server, ứng dụng lập tức bị sập giao diện màn hình trắng xóa kèm lỗi Concurrent render.</t>
  </si>
  <si>
    <t>Trục xuất thư viện lỗi thời, thay thế bằng bộ thư viện mã nguồn mở hiện đại mới nhất là `@dnd-kit/core` cho React 18.</t>
  </si>
  <si>
    <t>ChatGPT khẳng định có thể cài đặt gói mở rộng chính thức từ Tailwind Labs mang tên `tailwind-backdrop-liquid-glass` để tự động render và tối ưu hóa phần cứng GPU cho các hiệu ứng kính chất lỏng phức tạp lồng nhau.</t>
  </si>
  <si>
    <t>Trên thực tế kho mã nguồn mở npm và hệ sinh thái Tailwind CSS hoàn toàn KHÔNG hề tồn tại bất kỳ thư viện hay plugin nào mang tên gọi này. Đây là thông tin do AI tự tưởng tượng ra tên gọi.</t>
  </si>
  <si>
    <t>Khi chạy lệnh cài đặt hệ thống `npm install tailwind-backdrop-liquid-glass`, terminal lập tức báo lỗi đỏ sập hệ thống `ERR! 404 Not Found`.</t>
  </si>
  <si>
    <t>Bác bỏ AI, tự tay cấu hình các thuộc tính transform tăng tốc phần cứng thông qua tệp tin CSS gốc `glass.css` chính thống.</t>
  </si>
  <si>
    <t>Claude hướng dẫn viết mã nguồn kiểm tra phân quyền cho Lễ tân trong Spring Security 6 bằng cách gõ phương thức: `.hasRole("ROLE_RECEPTIONIST")` lồng bên trong cấu hình HttpSecurity.</t>
  </si>
  <si>
    <t>Trong thiết kế của Spring Security, phương thức `.hasRole()` sẽ tự động đính kèm thêm tiền tố `ROLE_` vào chuỗi kiểm tra một cách ngầm định. Nếu lập trình viên điền thủ công chuỗi có sẵn tiền tố dạng `ROLE_RECEPTIONIST`, hệ thống sẽ đi tìm quyền mang tên `ROLE_ROLE_RECEPTIONIST`, dẫn đến lỗi logic bảo mật sai lệch.</t>
  </si>
  <si>
    <t>Khi tiến hành đăng nhập bằng tài khoản Lễ tân chính xác, hệ thống liên tục trả về mã lỗi đỏ từ chối quyền truy cập 403 Forbidden dù tài khoản có đầy đủ quyền hạn trong DB.</t>
  </si>
  <si>
    <t>Khắc phục lỗi logic của AI, sửa chuỗi phân quyền về đúng quy chuẩn định dạng của Spring Security bằng cách loại bỏ tiền tố thừa: `.hasRole("RECEPTIONIST")`.</t>
  </si>
  <si>
    <t>ChatGPT hướng dẫn xử lý đồng bộ và lưu hóa đơn tổng hợp nặng bằng cách đính kèm đồng thời hai annotation `@Async` và `@Transactional` lồng nhau trên cùng một phương thức xử lý Service Java.</t>
  </si>
  <si>
    <t>Annotation `@Async` sẽ ép phương thức chạy trên một luồng Thread hoàn toàn độc lập khác với luồng request ban đầu. Do cơ chế quản lý giao dịch của Spring Data JPA (`@Transactional`) gắn liền với ThreadLocal, việc tách luồng này làm mất hoàn toàn Context giao dịch, khiến DB không thể rollback dữ liệu nếu xảy ra lỗi giữa chừng.</t>
  </si>
  <si>
    <t>Đối chiếu giải pháp thô này với công cụ kiểm duyệt Gemini. Gemini lập tức phát hiện lỗ hổng kiến trúc nghiêm trọng này và đưa ra cảnh báo phê phán kịch bản lồng @Async của ChatGPT.</t>
  </si>
  <si>
    <t>Trục xuất annotation `@Async` ra khỏi hàm xử lý tài chính hóa đơn, giữ nguyên `@Transactional` chạy đồng bộ tuần tự để đảm bảo an toàn tuyệt đối cho dòng tiền và dữ liệu phòng khám.</t>
  </si>
  <si>
    <t>ChatGPT (khi nhờ sinh kịch bản Unit Test trong Codex) khẳng định môi trường kiểm thử của thư viện JUnit 5 cung cấp một annotation đặc thù là `@CodexTestFixture(mockDb = true, autoAssertFinance = true)` giúp tự động tạo lập dữ liệu hóa đơn giả lập và tự động verify số tiền chính xác mà không cần viết câu lệnh assert.</t>
  </si>
  <si>
    <t>Trong thực tế, hệ sinh thái kiểm thử JUnit 5 hay bộ công cụ Spring Boot Test hoàn toàn KHÔNG hề tồn tại bất kỳ annotation nào mang tên `@CodexTestFixture`. Đây là thông tin do AI tự bịa đặt cấu trúc hư cấu ra.</t>
  </si>
  <si>
    <t>Khi tiến hành dán đoạn mã này vào file test Java trong môi trường IDE, trình biên dịch lập tức báo lỗi đỏ toàn bộ tệp tin vì không thể import được class thư viện từ bất kỳ package nào.</t>
  </si>
  <si>
    <t>Trục xuất annotation hư cấu của AI, tự tay viết các kịch bản Unit Test chính thống sử dụng bộ thư viện Mockito chuẩn mực kết hợp với các câu lệnh khẳng định dữ liệu thực tế `assertEquals()` để verify số tiền hóa đơn.</t>
  </si>
  <si>
    <t>Claude hướng dẫn xử lý luồng tính tiền mã giảm giá cho Lễ tân bằng cách viết code tính toán số tiền đã chiết khấu hoàn toàn ở phía Frontend Client-side bằng JavaScript, sau đó truyền trực tiếp con số thành tiền cuối cùng (`discounted_price`) qua API endpoint để Backend lưu trực tiếp vào cơ sở dữ liệu.</t>
  </si>
  <si>
    <t>Đây là một lỗi logic bảo mật sơ đẳng và cực kỳ nguy hiểm. Giao logic tài chính về phía client cho phép người dùng có dụng ý xấu dễ dàng can thiệp công cụ F12 sửa đổi số tiền hóa đơn triệu đồng thành 0 đồng trước khi gửi request thanh toán lên server.</t>
  </si>
  <si>
    <t>Khi tôi đưa giải pháp này lên hỏi Gemini để phân tích kiến trúc, Gemini lập tức đưa ra cảnh báo phê phán kịch bản của Claude, giúp tôi nhận ra lỗ hổng giá tiền (Price Tampering Vulnerability) nghiêm trọng này.</t>
  </si>
  <si>
    <t>Bác bỏ hoàn toàn giải pháp lỗi của Claude, chuyển dịch toàn bộ thuật toán tính toán tiền bạc, kiểm tra điều kiện voucher về phía Backend Server độc lập để đảm bảo an toàn tuyệt đối cho dòng tiền phòng khám.</t>
  </si>
  <si>
    <t>ChatGPT hướng dẫn tối ưu hiệu ứng kính lỏng (Liquid Glass) cho Admin bằng cách đính kèm thuộc tính CSS đã lỗi thời mang tên `rendering-layer-isolation: hardware-force;` và bộ cấu hình ép lọc lớp cũ.</t>
  </si>
  <si>
    <t>Thuộc tính CSS `rendering-layer-isolation` hoàn toàn không có trong quy chuẩn chính thức của W3C và đã bị loại bỏ từ lâu trong các trình duyệt hiện đại ngày nay, việc sử dụng nó không mang lại bất kỳ lợi ích tối ưu phần cứng nào.</t>
  </si>
  <si>
    <t>Khi kiểm tra trang Dashboard Admin trên trình duyệt Chrome, tab Console lập tức hiển thị dòng cảnh báo màu vàng thông báo thuộc tính CSS không hợp lệ (Unknown property) và hiệu năng cuộn trang vẫn bị giật lag.</t>
  </si>
  <si>
    <t>Loại bỏ thuộc tính lạc hậu của AI, thay thế bằng giải pháp sử dụng thuộc tính chuẩn hóa tăng tốc phần cứng GPU hiện đại là `will-change: transform` phối hợp lớp bố cục cô lập `contain: paint` chuẩn chỉnh.</t>
  </si>
  <si>
    <t>Oversimplification</t>
  </si>
  <si>
    <t>Claude khẳng định áp dụng Liquid Glass đồng loạt lên toàn bộ khung nhìn Doctor Dashboard, kể cả vùng dữ liệu lâm sàng, chỉ ảnh hưởng đến thẩm mỹ chứ không tác động đến khả năng đọc thông tin của bác sĩ.</t>
  </si>
  <si>
    <t>Kiểm tra tỷ lệ tương phản bằng công cụ DevTools cho thấy độ tương phản chữ trên nền kính mờ giảm xuống dưới 3:1, không đạt chuẩn WCAG AA (yêu cầu tối thiểu 4.5:1) cho văn bản y tế quan trọng.</t>
  </si>
  <si>
    <t>Dùng Chrome DevTools &gt; Lighthouse Accessibility Audit chạy trên bản dựng thử áp toàn bộ hiệu ứng, phát hiện cảnh báo contrast issue ở nhiều vùng văn bản.</t>
  </si>
  <si>
    <t>Giới hạn Liquid Glass chỉ ở Header/Sidebar/Card tổng quan, giữ nguyên nền đục cho toàn bộ vùng hiển thị dữ liệu lâm sàng.</t>
  </si>
  <si>
    <t>Khi được hỏi icon nào trong thư viện `lucide-react` phù hợp nhất cho 'phác đồ điều trị da liễu', Claude khẳng định thư viện có sẵn hai icon tên `Dermatology` và `SkinLayers` được thiết kế chuyên biệt cho ứng dụng y tế da liễu.</t>
  </si>
  <si>
    <t>Kiểm tra danh mục icon chính thức trên trang tài liệu lucide.dev và repository GitHub của lucide-react, hoàn toàn không tồn tại icon nào tên `Dermatology` hay `SkinLayers`. Đây là tên do AI tự bịa ra.</t>
  </si>
  <si>
    <t>Khi import `Dermatology` từ `lucide-react` vào file `icon-map.ts`, trình biên dịch TypeScript báo lỗi đỏ toàn file: Module has no exported member 'Dermatology'.</t>
  </si>
  <si>
    <t>Thay thế bằng icon có sẵn và gần nghĩa nhất là `Stethoscope` kết hợp `Layers`, ánh xạ lại trong `icon-map.ts` cho đúng tên thực tế tồn tại trong thư viện.</t>
  </si>
  <si>
    <t>Claude khẳng định dùng `LocalDate.now()` thuần của Java là đủ chính xác để so sánh ngày hết hạn Voucher vì 'server và toàn bộ người dùng đều nằm trong cùng một quốc gia nên múi giờ mặc định sẽ luôn khớp nhau'.</t>
  </si>
  <si>
    <t>Trên thực tế, server production được deploy trên nền tảng cloud có cấu hình múi giờ mặc định là UTC bất kể vị trí địa lý người dùng truy cập, hoàn toàn không tự động khớp với múi giờ Việt Nam như AI khẳng định.</t>
  </si>
  <si>
    <t>So sánh giá trị `LocalDate.now()` in ra log server với đồng hồ thực tế tại Việt Nam, phát hiện lệch 7 tiếng, trùng khớp với thời điểm Admin báo cáo voucher hiển thị sai trạng thái gần nửa đêm.</t>
  </si>
  <si>
    <t>Ép chỉ định rõ ràng `ZoneId.of("Asia/Ho_Chi_Minh")` trong toàn bộ logic tính ngày hết hạn, không phụ thuộc múi giờ mặc định của môi trường server.</t>
  </si>
  <si>
    <t>Claude khẳng định bộ công cụ SDK của Google MediaPipe cung cấp một mô hình pre-trained tích hợp sẵn chạy trực tiếp ở client-side mang tên `MediaPipeSkinLesionClassifier` có khả năng tự động phân tích và chẩn đoán phân loại mụn, nám da liễu ngay trên trình duyệt không cần backend máy chủ.</t>
  </si>
  <si>
    <t>Trong thực tế, Google MediaPipe hoàn toàn KHÔNG hề cung cấp bất kỳ mô hình may sẵn nào mang tên như vậy để chẩn đoán bệnh lý da liễu. MediaPipe chỉ cung cấp các khối giải pháp thị giác máy tính nền tảng (như nhận diện khuôn mặt, vật thể, lưới điểm). Sinh viên phải tự huấn luyện và nhúng mô hình TFLite riêng biệt.</t>
  </si>
  <si>
    <t>Khi tiến hành tra cứu tài liệu chính thức (Official Documentation) trên trang chủ Google MediaPipe Solutions, hoàn toàn không tìm thấy bất kỳ danh mục hay tham chiếu kỹ thuật nào tồn tại lớp class này.</t>
  </si>
  <si>
    <t>Xóa bỏ thông tin bịa đặt của AI, sử dụng giải pháp chuẩn: Dùng MediaPipe Face Mesh để định vị cắt vùng da sạch ở Frontend Next.js, sau đó gửi tệp ảnh sạch về API Backend chạy trên Python Server để xử lý chẩn đoán bằng mô hình phân loại custom.</t>
  </si>
  <si>
    <t>Context Misunderstanding / Performance Leak</t>
  </si>
  <si>
    <t>ChatGPT hướng dẫn xử lý lưu trữ toàn bộ lịch sử hội thoại, ngữ cảnh và các mảng vector embeddings nặng nề của phiên chat bệnh nhân trực tiếp vào đối tượng bộ nhớ phiên làm việc `HttpSession` thô của máy chủ Java Spring Boot để duy trì trạng thái cho AI Chatbot giữa các lượt chat.</t>
  </si>
  <si>
    <t>Việc lưu trữ các mảng dữ liệu vector thô cực kỳ nặng trực tiếp vào `HttpSession` trên RAM của máy chủ ứng dụng Java (JVM) sẽ gây ra lỗ hổng rò rỉ bộ nhớ (Memory Leak) nghiêm trọng. Khi phòng khám có hàng trăm người bệnh truy cập cùng lúc hỏi đáp chat, máy chủ JVM sẽ lập tức cạn kiệt tài nguyên RAM và dính lỗi sập nguồn OutOfMemoryError.</t>
  </si>
  <si>
    <t>Khi tôi đưa kế hoạch hạ tầng này lên hỏi công cụ kiểm duyệt Gemini để giải đáp thắc mắc bảo mật kỹ thuật kỹ thuật, Gemini lập tức đưa ra cảnh báo phê phán kịch bản lưu HttpSession thô của ChatGPT là một thảm họa hiệu năng.</t>
  </si>
  <si>
    <t>Trục xuất toàn bộ mã nguồn lưu dữ liệu thô vào HttpSession, thay thế bằng cơ chế trừu tượng hóa: Sử dụng một bộ nhớ đệm cache ngắn hạn phân tách biệt độc lập bằng Redis Cache để quản lý ngữ cảnh hội thoại AI Chatbot một cách an toàn, tinh gọn.</t>
  </si>
  <si>
    <t>Logic Error / Transaction Status</t>
  </si>
  <si>
    <t>Claude hướng dẫn tối ưu thuật toán thêm mới nhân viên của Admin bằng cách chạy hàm lưu thông tin nhân sự lồng ghép song song đồng thời hai annotation `@Async` và `@Transactional` trực tiếp trên cùng một phương thức Java Service xử lý dữ liệu để đẩy tốc độ lưu DB nhanh hơn.</t>
  </si>
  <si>
    <t>Do cơ chế quản lý vòng đời giao dịch dữ liệu của Spring Data JPA (`@Transactional`) hoạt động chặt chẽ dựa trên cơ chế ThreadLocal (gắn chặt với luồng xử lý hiện tại), việc đính kèm `@Async` sẽ ép phương thức rẽ nhánh chạy trên một luồng Thread hoàn toàn độc lập khác. Điều này làm mất hoàn toàn Context giao dịch dữ liệu, khiến cơ sở dữ liệu mất khả năng tự động quay lui (Rollback) nếu xảy ra lỗi ghi file nhân sự giữa chừng.</t>
  </si>
  <si>
    <t>Khi chạy thử nghiệm kiểm thử kịch bản (Unit Testing) và chủ động ép lỗi hệ thống ném ra ngoại lệ, cơ sở dữ liệu MySQL vẫn thực hiện ghi đè dữ liệu rác lỗi mà không chịu thực hiện nghiệp vụ Rollback bảo toàn toàn vẹn dữ liệu.</t>
  </si>
  <si>
    <t>Loại bỏ hoàn toàn annotation rẽ nhánh `@Async` ra khỏi phương thức Service quản lý nhân sự y tế của Admin, giữ nguyên cấu trúc chạy đồng bộ tuần tự kết hợp `@Transactional` quy chuẩn để đảm bảo an toàn tuyệt đối dữ liệu.</t>
  </si>
  <si>
    <t>Claude khẳng định chỉ cần tăng ngưỡng confidence threshold từ 0.5 lên 0.9 là đủ để khắc phục hoàn toàn tình trạng AI chẩn đoán nhầm giữa mụn viêm và nám da.</t>
  </si>
  <si>
    <t>Tăng ngưỡng chỉ ẩn bớt các dự đoán có độ tin cậy thấp chứ không sửa được các trường hợp model tự tin nhầm (high-confidence misclassification) do lệch phân bố màu ảnh đầu vào (color domain shift) giữa ảnh huấn luyện và ảnh chụp thực tế dưới đèn phòng khám.</t>
  </si>
  <si>
    <t>Test thử với threshold 0.9 trên bộ ảnh chụp thực tế tại phòng khám, vẫn ghi nhận nhiều ca bị chẩn đoán sai với độ tin cậy trên 90%.</t>
  </si>
  <si>
    <t>Bổ sung bước tiền xử lý cân bằng trắng ảnh đầu vào (White Balance Normalization) trước khi đưa vào model, giữ nguyên ngưỡng gốc 0.5.</t>
  </si>
  <si>
    <t>Claude khẳng định Web Speech API của trình duyệt có sẵn một chế độ đặc biệt `SpeechRecognition.medicalMode = true` giúp tự động tăng độ chính xác nhận diện các thuật ngữ y khoa chuyên ngành da liễu.</t>
  </si>
  <si>
    <t>Tài liệu chính thức của Web Speech API trên MDN hoàn toàn không có bất kỳ thuộc tính `medicalMode` nào. Đây là thuộc tính do AI tự bịa ra.</t>
  </si>
  <si>
    <t>Khi gán `recognition.medicalMode = true` trong code, trình duyệt không báo lỗi cú pháp (vì JavaScript cho phép gán thuộc tính tùy ý) nhưng độ chính xác nhận diện thuật ngữ y khoa hoàn toàn không thay đổi so với khi không gán; kiểm tra lại tài liệu MDN mới phát hiện thuộc tính không tồn tại.</t>
  </si>
  <si>
    <t>Loại bỏ thuộc tính bịa đặt, cải thiện độ chính xác bằng cách tự xây danh sách từ điển thuật ngữ da liễu (custom grammar hints) hoặc chuyển sang dịch vụ Speech-to-Text chuyên biệt hỗ trợ từ vựng tùy chỉnh (custom vocabulary) thực sự tồn tại.</t>
  </si>
  <si>
    <t>Claude khẳng định chỉ cần dùng hai cột cờ boolean độc lập `confirmed_by_doctor` và `confirmed_by_technician` là đủ để quản lý toàn bộ trạng thái xác nhận lịch khám, không cần thêm cơ chế kiểm soát nào khác vì 'hai cột độc lập không bao giờ xung đột nhau'.</t>
  </si>
  <si>
    <t>Hai cột cờ độc lập hoàn toàn có thể rơi vào trạng thái mâu thuẫn logic khi một bên xác nhận đúng lúc bên còn lại hủy ca khám, không có ràng buộc nào ngăn việc ghi nhận xác nhận lên một ca đã bị hủy.</t>
  </si>
  <si>
    <t>Giả lập kịch bản Kỹ thuật viên bấm hủy và Bác sĩ bấm xác nhận trong cùng một giây bằng 2 tab trình duyệt khác nhau, hệ thống vẫn lưu `confirmed_by_doctor = true` trên bản ghi đã có `status = CANCELLED`.</t>
  </si>
  <si>
    <t>Thay thế bằng mô hình Máy trạng thái tập trung (Finite State Machine) với Atomic Conditional Update để chặn các chuyển đổi trạng thái phi lý.</t>
  </si>
  <si>
    <t>Claude khẳng định component `&lt;Image&gt;` chính thức của thư viện Next.js hỗ trợ sẵn prop `fallbackSrc` để tự động chuyển sang ảnh dự phòng khi ảnh gốc bị lỗi 404.</t>
  </si>
  <si>
    <t>Tra cứu tài liệu chính thức trên trang chủ nextjs.org/docs, component `&lt;Image&gt;` của Next.js không hề có prop nào tên `fallbackSrc`. Đây là tính năng do AI tự bịa ra.</t>
  </si>
  <si>
    <t>Khi build dự án TypeScript, trình biên dịch báo lỗi đỏ: Property 'fallbackSrc' does not exist on type 'ImageProps'.</t>
  </si>
  <si>
    <t>Tự xây dựng component bọc `SafeImage` sử dụng sự kiện `onError` có thật của thẻ ảnh để chuyển sang ảnh placeholder cục bộ khi ảnh gốc lỗi.</t>
  </si>
  <si>
    <t>Claude khẳng định 'AI luôn xử lý nhanh hơn thao tác tay của con người' nên không thể xảy ra tình huống transcript giọng nói trả về sau khi bác sĩ đã bấm hoàn tất ca khám.</t>
  </si>
  <si>
    <t>Tốc độ xử lý Speech-to-Text phụ thuộc vào độ dài đoạn hội thoại và chất lượng mạng, hoàn toàn có thể chậm hơn thao tác bấm nút của bác sĩ, đặc biệt với các buổi khám dài hoặc mạng yếu.</t>
  </si>
  <si>
    <t>Giả lập kịch bản transcript trả về trễ 3 giây sau khi trạng thái ca khám đã chuyển COMPLETED, tái hiện đúng lỗi hệ thống cố ghi gợi ý vào bản ghi đã khóa.</t>
  </si>
  <si>
    <t>Bổ sung điều kiện kiểm tra trạng thái ca khám trước khi ghi gợi ý giọng nói; loại bỏ và ghi log cảnh báo nếu ca đã đóng thay vì cố ghi đè.</t>
  </si>
  <si>
    <t>Claude khẳng định toàn bộ endpoint trong dự án 'đều đã có kiểm tra role đầy đủ và nhất quán' sau khi quét qua danh sách controller.</t>
  </si>
  <si>
    <t>Kiểm tra thủ công phát hiện 2 endpoint được thêm ở Tuần 10 (voice suggestion và SafeImage upload) hoàn toàn không có annotation `@PreAuthorize`, có thể bị truy cập trái phép bởi tài khoản không đúng vai trò.</t>
  </si>
  <si>
    <t>Viết Unit Test dùng Reflection quét toàn bộ class Controller, phát hiện 2 method public không có annotation phân quyền.</t>
  </si>
  <si>
    <t>Bổ sung `@PreAuthorize` cho 2 endpoint còn thiếu và giữ lại bài test Reflection để tự động chặn tái diễn lỗi sót phân quyền trong tương lai.</t>
  </si>
  <si>
    <t>Claude khẳng định chạy load test tuần tự với các request cách nhau 1 giây 'đảm bảo an toàn và dễ debug' là đủ để xác thực cơ chế chống tranh chấp dữ liệu đồng thời.</t>
  </si>
  <si>
    <t>Test tuần tự không bao giờ tạo ra tình huống nhiều luồng cùng chạm dữ liệu tại một thời điểm, do đó không thể phát hiện được race condition dù logic có lỗi hay không.</t>
  </si>
  <si>
    <t>Chạy thử kịch bản tuần tự trên một bản code cố tình chèn lỗi giả để kiểm chứng độ nhạy của test, kết quả test vẫn báo PASS dù lỗi giả đã được chèn vào, chứng minh test không có khả năng phát hiện tranh chấp thực sự.</t>
  </si>
  <si>
    <t>Thiết kế lại kịch bản bằng JMeter Thread Group 50 luồng đồng thời kết hợp Synchronizing Timer để đảm bảo request thực sự chạm database cùng lúc.</t>
  </si>
  <si>
    <t>TOTAL CASES</t>
  </si>
  <si>
    <t>HALLUCINATION TYPES REFERENCE:</t>
  </si>
  <si>
    <t>Type</t>
  </si>
  <si>
    <t>Definition</t>
  </si>
  <si>
    <t>Example</t>
  </si>
  <si>
    <t>AI tạo ra thông tin không tồn tại</t>
  </si>
  <si>
    <t>Fake papers, fake APIs, fake data</t>
  </si>
  <si>
    <t>AI bỏ qua edge cases, exceptions</t>
  </si>
  <si>
    <t>Code không handle trường hợp mảng/dữ liệu rỗng</t>
  </si>
  <si>
    <t>AI đưa kết luận sai về 'best practice'</t>
  </si>
  <si>
    <t>Khẳng định một thuật toán luôn tối ưu trong mọi bối cảnh</t>
  </si>
  <si>
    <t>AI dùng thông tin cũ, không còn đúng</t>
  </si>
  <si>
    <t>Sử dụng cú pháp của các thư viện đã bị khai tử (deprecated)</t>
  </si>
  <si>
    <t>AI không hiểu đúng bối cảnh</t>
  </si>
  <si>
    <t>Không nắm rõ các giới hạn tài nguyên và nghiệp vụ thực tế của dự án</t>
  </si>
  <si>
    <t>SELF-ASSESSMENT CHECKLIST - ALL WEEKS (Trước khi nộp)</t>
  </si>
  <si>
    <t>Tổng hợp kiểm tra chất lượng cho toàn bộ 81 core prompts qua 11 tuần trước khi nộp báo cáo cuối kỳ.</t>
  </si>
  <si>
    <t>A. KIỂM TRA CHẤT LƯỢNG TOÀN DỰ ÁN (Yêu cầu Pass &gt;=4/5 mỗi entry)</t>
  </si>
  <si>
    <t>#</t>
  </si>
  <si>
    <t>Tiêu chí bảo đảm chất lượng</t>
  </si>
  <si>
    <t>Pass?</t>
  </si>
  <si>
    <t>Note</t>
  </si>
  <si>
    <t>1</t>
  </si>
  <si>
    <t>Prompt này ảnh hưởng đến quyết định quan trọng trong project?</t>
  </si>
  <si>
    <t>☑</t>
  </si>
  <si>
    <t>Đã kiểm soát kỹ 81 quyết định kỹ thuật xuyên suốt 11 tuần</t>
  </si>
  <si>
    <t>2</t>
  </si>
  <si>
    <t>Nếu không có prompt này, project có thay đổi về architecture/design?</t>
  </si>
  <si>
    <t>Ảnh hưởng trực tiếp kiến trúc DB, bảo mật, luồng nghiệp vụ và các tính năng AI</t>
  </si>
  <si>
    <t>3</t>
  </si>
  <si>
    <t>Tôi có thể giải thích lý do chọn/không chọn gợi ý của AI?</t>
  </si>
  <si>
    <t>Mỗi entry đều có đủ 4 phần Critical Thinking/Contextualization/Creative Synthesis/Decision</t>
  </si>
  <si>
    <t>4</t>
  </si>
  <si>
    <t>Có minh chứng cụ thể (code, metrics, comparison)?</t>
  </si>
  <si>
    <t>81/81 entries đều chỉ định rõ tệp mã nguồn/minh chứng đính kèm</t>
  </si>
  <si>
    <t>5</t>
  </si>
  <si>
    <t>Prompt này phản ánh tư duy phản biện, không chỉ copy AI?</t>
  </si>
  <si>
    <t>Chứng minh xuyên suốt qua việc phản biện và sửa lại đề xuất ban đầu của AI ở từng tuần</t>
  </si>
  <si>
    <t>B. KIỂM TRA TỔNG THỂ TOÀN BỘ DỰ ÁN (11 TUẦN)</t>
  </si>
  <si>
    <t>Tiêu chí tổng thể hệ thống</t>
  </si>
  <si>
    <t>Current Value (Toàn dự án)</t>
  </si>
  <si>
    <t>Số lượng entries nằm trong range (min-max) mỗi tuần?</t>
  </si>
  <si>
    <t>Mỗi DTC component có ít nhất 1 core prompt mỗi tuần?</t>
  </si>
  <si>
    <t>Đã phát hiện &gt;= số lượng hallucination yêu cầu mỗi tuần?</t>
  </si>
  <si>
    <t>Mỗi entry đều có Human Delta đầy đủ (4 câu hỏi)?</t>
  </si>
  <si>
    <t>100% (81/81) các dòng đều điền đủ 4 ý gốc</t>
  </si>
  <si>
    <t>Có evidence cho &gt;=70% entries?</t>
  </si>
  <si>
    <t>100% (81/81) entries đều chỉ định bằng chứng</t>
  </si>
  <si>
    <t>C. CHUẨN BỊ CHO ORAL VIVAS (Q&amp;A) - TOÀN BỘ 11 TUẦN</t>
  </si>
  <si>
    <t>Giảng viên có thể hỏi ngẫu nhiên bất kỳ entry nào trong 11 tuần. Tự hỏi bản thân:</t>
  </si>
  <si>
    <t>Tôi có thể giải thích tại sao chọn approach này?</t>
  </si>
  <si>
    <t>Tôi có nhớ AI response?</t>
  </si>
  <si>
    <t>Tôi có evidence?</t>
  </si>
  <si>
    <t>Có — Giải thích tại sao tách SMTP OTP thành Phase B, dev dùng OTP trong JSON response để không block sprint.</t>
  </si>
  <si>
    <t>Gemini: 7 bước đầy đủ có SMTP ngay từ đầu.</t>
  </si>
  <si>
    <t>Sơ đồ luồng đăng ký; API list</t>
  </si>
  <si>
    <t>Có — Giải thích gộp component lại tránh Prop Drilling khi chưa có Redux.</t>
  </si>
  <si>
    <t>Claude: 5 leaf component tự fetch data độc lập.</t>
  </si>
  <si>
    <t>Sơ đồ UI Component</t>
  </si>
  <si>
    <t>Có — Giải thích gộp password_hash vào Account table đủ bảo mật nếu hash đúng cách.</t>
  </si>
  <si>
    <t>Gemini: Tách bảng User_Passwords riêng.</t>
  </si>
  <si>
    <t>SQL script Account table</t>
  </si>
  <si>
    <t>Có — Giải thích Structured Audit Log với cột tường minh query nhanh hơn JSON blob.</t>
  </si>
  <si>
    <t>ChatGPT: Lưu JSON trong 1 cột TEXT.</t>
  </si>
  <si>
    <t>ERD System_Audits; Index DDL</t>
  </si>
  <si>
    <t>Có — Giải thích tách 2 trang riêng + Inline Validation tốt hơn Sliding Card cho mobile.</t>
  </si>
  <si>
    <t>Claude: Sliding Card animation + Pop-up alert.</t>
  </si>
  <si>
    <t>Figma Wireframe; LoginPage.jsx</t>
  </si>
  <si>
    <t>Tại sao em không chọn giải pháp WebSockets để cập nhật widget doanh thu của Admin giống như AI đề xuất ban đầu?</t>
  </si>
  <si>
    <t>Trả lời dựa vào tính thực tế: Dashboard Admin xem báo cáo vĩ mô, không cần nhảy số theo mili-giây. Dùng WebSockets gây lãng phí CPU/băng thông mạng vô ích.</t>
  </si>
  <si>
    <t>Hiệu năng &amp; Tối ưu hóa hạ tầng (Restful + Cache 5 phút thay vì duy trì Socket liên tục).</t>
  </si>
  <si>
    <t>Cơ chế kiểm soát thời gian hết hạn (`expiry_time`) và số lần nhập sai (`failed_attempts`) của mã OTP được em triển khai như thế nào ở code Backend?</t>
  </si>
  <si>
    <t>Giải thích luồng: Lưu mã kèm timestamp trong DB. Mỗi lần user nhập sai thì tăng biến đếm lên 1. Nếu đếm &gt; 5 hoặc hiện tại &gt; expiry_time thì hủy phiên xác thực.</t>
  </si>
  <si>
    <t>Bảo mật hệ thống phòng chống tấn công dò mã tự động (Brute-Force Attack Protection).</t>
  </si>
  <si>
    <t>Em giải thích thế nào về việc bác bỏ giải pháp lưu thông tin Dashboard độc lập của AI để chuyển sang mô hình UI Shell Component chung?</t>
  </si>
  <si>
    <t>Trả lời dựa trên nguyên lý quản lý mã nguồn: Tránh trùng lặp code (DRY principle). Gom Sidebar/Header về một Layout chung, chỉ render động các menu dựa trên mảng cấu hình role.</t>
  </si>
  <si>
    <t>Kiến trúc Frontend mô-đun hóa, tăng khả năng bảo trì và nâng cấp giao diện.</t>
  </si>
  <si>
    <t>Làm thế nào để bộ lọc Route Guard ở Next.js Middleware chặn được hacker xâm nhập trang Dashboard Admin, thay vì dùng `useEffect` ở Client-side?</t>
  </si>
  <si>
    <t>Giải thích cơ chế đánh chặn: Middleware chạy ở môi trường Edge/Server trước khi bất kỳ file HTML/JS nào được gửi về trình duyệt. Nếu role không khớp, server sẽ redirect ngay lập tức.</t>
  </si>
  <si>
    <t>Bảo mật Server-side Authentication, triệt tiêu khả năng bypass bảo mật bằng cách can thiệp JavaScript tại trình duyệt.</t>
  </si>
  <si>
    <t>Tại sao em lại chọn mô hình Kế thừa bảng liên kết (Joined Table Inheritance) thay vì tách biệt bảng độc lập cho LabTest và Procedure?</t>
  </si>
  <si>
    <t>Có</t>
  </si>
  <si>
    <t>Làm thế nào phương thức `JOIN FETCH` trong câu lệnh JPQL của em giải quyết được vấn đề hiệu năng N+1 Select Problem khi bác sĩ mở bệnh án?</t>
  </si>
  <si>
    <t>Tại sao em bác bỏ đề xuất dùng Khóa bi quan (Pessimistic Lock) của AI để chuyển sang Khóa lạc quan (Optimistic Lock) cho thực thể bệnh án?</t>
  </si>
  <si>
    <t>Trong thuật toán ghim tiến trình lịch sử bệnh án, làm sao em ép được các ca điều trị đang dang dở (`ACTIVE_ONGOING`) lên đầu bất kể ngày tháng?</t>
  </si>
  <si>
    <t>Tại sao lại tách luồng truyền nhận dữ liệu kết quả xét nghiệm da liễu giữa bác sĩ và kỹ thuật viên thành luồng bất đồng bộ cô lập thay vì làm mới toàn bộ trang (Hard Refresh) như AI đề xuất?</t>
  </si>
  <si>
    <t>Trả lời: Ép refresh toàn bộ trang làm lộ rủi ro mất dữ liệu văn bản lâm sàng bác sĩ đang gõ dở trên form khám. Hệ thống của em sử dụng WebSocket/SSE phát tín hiệu ngắn làm tăng số lượng badge thông báo ở góc màn hình, bác sĩ chủ động lazy-load nạp kết quả khi rảnh để giữ nguyên trạng thái form.</t>
  </si>
  <si>
    <t>Kiến trúc giao diện phản ứng cô lập (Isolated Reactive UI Workflow) - Minh chứng mã nguồn file: `TechHandoffService.java`</t>
  </si>
  <si>
    <t>Tại sao bác bỏ code lồng ghép nhiều bộ lọc filter blur của AI khi thiết kế hiệu ứng kính mờ (Liquid Glass) cho Landing Page?</t>
  </si>
  <si>
    <t>Trả lời: Nhiều thuộc tính `filter: blur()` thô bắt trình duyệt ép CPU tính toán lại pixel liên tục khi cuộn trang gây giật lag (tụt FPS). Em thay thế bằng thuộc tính phần cứng native `backdrop-filter: blur(16px)` kết hợp `transform: translate3d()` di chuyển ảnh nền SVG để ép render trực tiếp bằng GPU, đảm bảo mượt mà 60 FPS.</t>
  </si>
  <si>
    <t>Tối ưu hóa tăng tốc phần cứng đồ họa (Hardware-Accelerated CSS) - Minh chứng file: `LandingPage.tsx`</t>
  </si>
  <si>
    <t>Tại sao lại phủ quyết mẫu thiết kế bảng danh sách phẳng (Flat List) của AI để đổi sang kiến trúc Kanban Board cho Kỹ thuật viên?</t>
  </si>
  <si>
    <t>Trả lời: Kỹ thuật viên thao tác liên tục bằng găng tay y tế nên dropdown nhỏ xíu của AI dễ gây bấm nhầm hàng dữ liệu. Mô hình Kanban phân chia cột rõ rệt cùng các card Liquid Glass lớn giúp kỹ thuật viên chạm kéo thả (Drag-and-Drop) chuyển trạng thái mẫu vật nhanh chóng, bao quát nhanh tải công việc máy soi da.</t>
  </si>
  <si>
    <t>Ứng dụng UI Design Patterns chuyên biệt trong y tế - Minh chứng thiết kế: Figma Tech Dashboard UI</t>
  </si>
  <si>
    <t>Việc đóng gói thuộc tính giao diện Liquid Glass vào một component `GlassCard` dùng chung mang lại lợi ích gì so với việc copy-paste các class CSS như AI làm?</t>
  </si>
  <si>
    <t>Trả lời: Copy-paste mã nguồn CSS thô vi phạm nguyên lý DRY và phá vỡ tính đồng bộ của Design System. Khi cần điều chỉnh lại độ mờ hoặc viền stroke theo yêu cầu khách hàng, nhóm phải sửa thủ công ở hàng chục file. Đóng gói thành component `GlassCard` giúp quản lý tập trung và dễ dàng tái sử dụng.</t>
  </si>
  <si>
    <t>Kiến trúc Frontend mô-đun hóa và thống nhất bộ nhận diện Design System - Minh chứng file: `GlassCard.tsx`</t>
  </si>
  <si>
    <t>Tại sao lại trừu tượng hóa mô hình dữ liệu thông báo thời gian thực qua WebSocket thành một DTO tinh gọn thay vì trả về toàn bộ object thực thể nặng nề như AI gợi ý?</t>
  </si>
  <si>
    <t>Trả lời: Trả về trực tiếp Entity làm lộ cấu trúc DB ra ngoài và lãng phí băng thông mạng WebSocket nội phòng khám. Gói tin JSON của em (`HandoffNotificationPayload`) chỉ chứa các ID cốt lõi và chuỗi mã hóa ngắn để cập nhật badge nhanh (&lt;100ms), dữ liệu chi tiết chỉ tải qua API RESTful khi click mở.</t>
  </si>
  <si>
    <t>Trừu tượng hóa dữ liệu contracts và tối ưu hóa băng thông mạng - Minh chứng file: `HandoffNotificationPayload.java`</t>
  </si>
  <si>
    <t>Tại sao việc ứng dụng Mô hình Máy trạng thái (Finite State Machine) lại tối ưu hơn viết câu lệnh `if-else` lồng nhau khi chuyển đổi trạng thái ca khám giữa các phòng ban?</t>
  </si>
  <si>
    <t>Trả lời: Viết `if-else` trực tiếp trong Controller tạo ra Spaghetti code, dễ sót điều kiện biên và cho phép dữ liệu nhảy cóc bất hợp pháp (ca chưa xét nghiệm nhảy thẳng sang hoàn tất). FSM quy định nghiêm ngặt các bước chuyển đổi trạng thái hợp lệ thông qua một `ConsultationStateManager` tập trung.</t>
  </si>
  <si>
    <t>Kiến trúc thiết kế phần mềm bền vững (Finite State Machine Patterns) - Minh chứng Enum: `ConsultationState`</t>
  </si>
  <si>
    <t>Thuật toán tính điểm trọng số động giải quyết bài toán điều phối hàng đợi xét nghiệm của kỹ thuật viên như thế nào để đảm bảo tính cấp thiết?</t>
  </si>
  <si>
    <t>Trả lời: Sắp xếp theo thời gian đến trước (FIFO) thuần túy của AI không đáp ứng được yêu cầu cấp thiết lâm sàng. Thuật toán của em tính toán điểm: Trọng số = (Mức độ khẩn cấp của bác sĩ * 100) + (Số phút bệnh nhân đã ngồi chờ), thực hiện `ORDER BY` trực tiếp trong câu lệnh JPQL giúp đẩy ca khẩn cấp lên đầu tự động.</t>
  </si>
  <si>
    <t>Thuật toán sắp xếp trọng số điều kiện tại tầng cơ sở dữ liệu - Minh chứng Custom Query Method</t>
  </si>
  <si>
    <t>Có — Giải thích tại sao tách luồng truyền nhận hàng chờ y tế phân kênh theo phòng khám (`/topic/queue/room/{roomId}`) thay vì phát tín hiệu reload diện rộng cho tất cả các máy trạm như AI đề xuất?</t>
  </si>
  <si>
    <t>Claude: Phát tín hiệu reload diện rộng ép mọi phòng ban gọi SQL tải lại data khổng lồ gây nghẽn. Giải pháp của tôi giúp cô lập tín hiệu, chỉ có bác sĩ thuộc phòng đó nhận thông báo cập nhật, tối ưu băng thông mạng.</t>
  </si>
  <si>
    <t>Sơ đồ luồng dữ liệu hàng chờ phân kênh; File: `QueueWebSocketController.java`</t>
  </si>
  <si>
    <t>Có — Giải thích giải pháp khắc phục triệt để tình trạng tụt khung hình (FPS drop) khi cuộn trang Landing Page chứa hiệu ứng kính lờ Liquid Glass lồng nhau phức tạp?</t>
  </si>
  <si>
    <t>ChatGPT: Gợi ý hạ độ mờ hoặc xóa bớt thẻ card lỏng làm mất tính thẩm mỹ cao cấp. Giải pháp của tôi áp dụng thuộc tính `will-change: transform` bóc tách card lỏng thành một Composite Layer độc lập trên GPU phần cứng.</t>
  </si>
  <si>
    <t>Bộ khung CSS tăng tốc phần cứng đồ họa; File: `styles/glass.css`</t>
  </si>
  <si>
    <t>Có — Giải thích lợi ích của việc xây dựng component bảo mật tập trung `SecuredPermission` bao quanh các nút thu ngân của Lễ tân so với việc viết `if-else` phân tán khắp nơi của AI?</t>
  </si>
  <si>
    <t>Claude: Viết `if-else` thủ công từng nút vi phạm nguyên lý DRY, tạo ra mã nguồn chắp vá dễ bỏ sót khi thêm quyền. Component tập trung của tôi bọc ngoài giúp quản lý đồng bộ và ẩn giấu phần tử nhạy cảm sạch sẽ.</t>
  </si>
  <si>
    <t>Kiến trúc bảo vệ component dựa trên vai trò UI; File: `SecuredPermission.tsx`</t>
  </si>
  <si>
    <t>Có — Giải thích lý do áp dụng Stateful Form Wizard Pattern lưu trạng thái biểu mẫu check-in nhiều bước của Lễ tân trên RAM thay vì lưu LocalStorage thô như AI xúi?</t>
  </si>
  <si>
    <t>Claude: Lưu dữ liệu hành chính y tế của bệnh nhân vào LocalStorage thô lộ lỗ hổng bảo mật nghiêm trọng. Mô hình Wizard lồng của tôi giữ data tập trung ở state cha, ẩn hiện bằng biến step chỉ lưu trên RAM an toàn.</t>
  </si>
  <si>
    <t>Biểu mẫu mô-đun hóa nhiều bước; File: `PatientCheckInWizard.tsx`</t>
  </si>
  <si>
    <t>Có — Tại sao em lại trừu tượng hóa cấu trúc dữ liệu tính hóa đơn tổng hợp tại Backend (`InvoiceAggregateDTO`) thay vì ném mảng data thô bắt Frontend tự tính tiền như AI gợi ý?</t>
  </si>
  <si>
    <t>ChatGPT: Giao logic toán tài chính cho Frontend xử lý là sai lầm chết người vì hacker dễ dàng can thiệp devtools sửa đổi con số thành tiền trước khi pay. Lớp DTO của tôi tự động chốt, niêm phong và tính toán read-only từ Server.</t>
  </si>
  <si>
    <t>Mô hình trừu tượng hóa dữ liệu hóa đơn tổng hợp; File: `InvoiceAggregateDTO.java`</t>
  </si>
  <si>
    <t>Có — Thuật toán hàng đợi mở rộng của em giải quyết lỗ hổng đặt số cứng `999999` của AI như thế nào khi Lễ tân chạy lệnh ghi đè thủ công (Force Insert VIP)?</t>
  </si>
  <si>
    <t>AI: Số cứng 999999 sẽ gây sập logic khi có 2 người VIP đến cùng lúc (hệ thống xếp ngẫu nhiên). Thuật toán của tôi tích hợp trường cờ `is_bypass_override` phối hợp trường thứ tự `override_sequence` tăng dần để kiểm soát tuyệt đối.</t>
  </si>
  <si>
    <t>Thuật toán hàng đợi tích hợp cơ chế ngắt dòng thủ công; Custom Query Method</t>
  </si>
  <si>
    <t>Có — Giải thích tại sao xử lý khấu trừ số lượng Voucher bằng câu lệnh Update nguyên tử (Atomic Update) dưới Database thay vì dùng cơ chế cập nhật thuần của Java Service như AI đề xuất?</t>
  </si>
  <si>
    <t>Claude: Đề xuất kiểm tra và trừ số lượng tuần tự trên RAM của Java Service. Giải pháp này dính lỗi Race Condition nghiêm trọng khi có nhiều giao dịch đồng thời. Tôi chuyển sang dùng lệnh Update nguyên tử có điều kiện ràng buộc ở MySQL để loại bỏ xung đột.</t>
  </si>
  <si>
    <t>Kịch kịch bản phân rã luồng bảo mật tài chính; File: `VoucherService.java`</t>
  </si>
  <si>
    <t>Có — Giải thích giải pháp tối ưu hóa hiệu ứng đồ họa Liquid Glass trên trang Admin Dashboard để bảng biểu dữ liệu khổng lồ không bị giật lag khi Admin cuộn trang?</t>
  </si>
  <si>
    <t>ChatGPT: Gợi ý áp bộ lọc kính mờ trực tiếp lên từng hàng/ô dữ liệu gây quá tải ma trận tính toán pixel của trình duyệt. Tôi cô lập lớp mờ lên khung bao ngoài (`.admin-table-container`) và áp dụng thuộc tính tăng tốc phần cứng cho các blob nền di chuyển.</t>
  </si>
  <si>
    <t>Bộ khung CSS cô lập layer đồ họa chuyên sâu; File: `AdminDashboardLayout.tsx`</t>
  </si>
  <si>
    <t>Có — Tại sao em lại áp dụng Strategy Pattern để tích hợp mã giảm giá Voucher vào module Billing của Lễ tân thay vì dùng cấu trúc lệnh `switch-case` lặp như AI gợi ý?</t>
  </si>
  <si>
    <t>Claude: Dùng `switch-case` vi phạm nguyên lý Mở/Đóng (SOLID), bắt buộc phải đập code cũ ra sửa khi phòng khám thêm loại ưu đãi mới. Tôi tách riêng thành các lớp chiến lược độc lập hiện thực interface chung để dễ dàng mở rộng.</t>
  </si>
  <si>
    <t>Sơ đồ cấu trúc mẫu thiết kế Strategy Pattern; File: `IDiscountStrategy.java`</t>
  </si>
  <si>
    <t>Có — Cơ chế kiểm tra chéo (State-Enforced Secure Authorization) giải quyết lỗ hổng dùng cờ boolean `is_verified` đơn giản của AI ra sao khi Kỹ thuật viên trả kết quả xét nghiệm cho Bác sĩ duyệt?</t>
  </si>
  <si>
    <t>AI: Dùng cờ boolean đơn giản làm lộ lỗ hổng bị Kỹ thuật viên giả mạo request gọi API để tự duyệt. Giải pháp của tôi ép luồng trạng thái máy (`TECH_SUBMITTED` -&gt; `DOCTOR_FINALIZED`) kết hợp kiểm tra context danh tính nghiêm ngặt từ Spring Security.</t>
  </si>
  <si>
    <t>Sơ đồ luồng State Machine bảo mật y tế; Spring Security Configuration</t>
  </si>
  <si>
    <t>Có — Tại sao em lại trừu tượng hóa kết quả kiểm tra Voucher thông qua một lớp phản hồi an toàn (`VoucherStatusDTO`) thay vì nạp nguyên vẹn thực thể Database gửi xuống Frontend như AI xúi?</t>
  </si>
  <si>
    <t>AI: Trả về trực tiếp Entity làm lộ toàn bộ thông tin nhạy cảm (số lượng còn lại, max limit, mã coupon ẩn) qua DevTools. Tôi trừu tượng hóa dữ liệu trả về chỉ gồm các trường an toàn tối giản, niêm phong toàn bộ cấu trúc DB ở phía Server.</t>
  </si>
  <si>
    <t>Mô hình trừu tượng hóa API contracts chống rò rỉ dữ liệu; File: `VoucherStatusDTO.java`</t>
  </si>
  <si>
    <t>Có — Thuật toán Optimistic Lock-free Deduction của em giải quyết bài toán tranh chấp voucher slots giới hạn ra sao khi nhiều Lễ tân cùng áp mã tại một mili-giây mà không bị treo hàng đợi luồng?</t>
  </si>
  <si>
    <t>AI: Đề xuất dùng từ khóa `synchronized` làm treo luồng Java, tụt hiệu năng ứng dụng nghiêm trọng. Thuật toán của tôi ép lệnh Update kiểm tra điều kiện dưới MySQL nguyên tử, hệ thống từ chối request đến muộn lập tức mà không gây nghẽn RAM.</t>
  </si>
  <si>
    <t>Thuật toán Atomic Concurrency Control tại Database; Custom Repository Method</t>
  </si>
  <si>
    <t>Có — Giải thích tại sao giới hạn phạm vi Liquid Glass chỉ ở Header/Sidebar/Card tổng quan thay vì áp toàn bộ khung nhìn Bác sĩ như AI gợi ý ban đầu?</t>
  </si>
  <si>
    <t>Claude: Gợi ý áp kính mờ đồng loạt lên cả vùng dữ liệu lâm sàng. Tôi phát hiện vấn đề tương phản WCAG và giới hạn lại phạm vi chỉ ở các vùng trang trí.</t>
  </si>
  <si>
    <t>Kiểm tra Lighthouse Accessibility; File: `DoctorDashboardLayout.tsx`</t>
  </si>
  <si>
    <t>Có — Vì sao em nhận diện và tránh lặp lại lỗi áp kính mờ tràn lan ở Technician Dashboard dù Claude gợi ý bọc GlassCard cho từng thẻ xét nghiệm?</t>
  </si>
  <si>
    <t>Claude: Gợi ý bọc GlassCard cho từng card Kanban, làm mờ nhãn màu trạng thái xét nghiệm. Tôi áp dụng lại bài học từ Entry 001, chỉ blur phần header cột Kanban.</t>
  </si>
  <si>
    <t>So sánh trước/sau; File: `TechKanbanBoard.tsx`</t>
  </si>
  <si>
    <t>Có — Tại sao em chọn xây dựng component `AppIcon` tập trung thay vì hardcode SVG rải rác ở từng file như Claude gợi ý?</t>
  </si>
  <si>
    <t>Claude: Gợi ý tìm-thay-thế icon cũ bằng SVG hardcode tại chỗ. Tôi phân rã lại thành một component trung gian ánh xạ tên ngữ nghĩa để dễ bảo trì đồng bộ.</t>
  </si>
  <si>
    <t>File: `AppIcon.tsx`, `icon-map.ts`</t>
  </si>
  <si>
    <t>Có — Vì sao em chuyển việc tính trạng thái hết hạn Voucher (`status`) hẳn về Backend thay vì để Frontend tự so sánh ngày như Claude khuyên?</t>
  </si>
  <si>
    <t>Claude: Gợi ý Frontend dùng thư viện date-fns để tự so sánh ngày, không giải quyết gốc rễ lệch múi giờ. Tôi trừu tượng hóa, trả sẵn field `status` đã tính toán từ Backend.</t>
  </si>
  <si>
    <t>File: `VoucherAdminDTO.java`</t>
  </si>
  <si>
    <t>Có — Giải thích tại sao em ép chỉ định `ZoneId.of("Asia/Ho_Chi_Minh")` thay vì dùng `LocalDate.now()` mặc định như Claude viết ban đầu?</t>
  </si>
  <si>
    <t>Claude: Dùng LocalDate.now() mặc định theo múi giờ server (UTC trên cloud), gây lệch 7 tiếng so với giờ Việt Nam. Tôi ép chỉ định múi giờ cố định để tính đúng ranh giới ngày hết hạn.</t>
  </si>
  <si>
    <t>File: `VoucherExpiryUtil.java`</t>
  </si>
  <si>
    <t>Có — Vì sao em mở rộng bảng ánh xạ `icon-map.ts` thay vì import icon rời trực tiếp vào bảng Voucher Admin như Claude gợi ý?</t>
  </si>
  <si>
    <t>Claude: Gợi ý import CheckCircle/XCircle/Clock rời rạc ngay tại file bảng Voucher. Tôi nhận diện đây là vi phạm quyết định tập trung hóa icon vừa chốt, nên mở rộng icon-map.ts thay vì tạo điểm quản lý icon thứ hai.</t>
  </si>
  <si>
    <t>File: `VoucherAdminTable.tsx`, `icon-map.ts`</t>
  </si>
  <si>
    <t>Có — Giải thích tại sao xử lý lỗi vỡ bố cục hiệu ứng kính mờ (Liquid Glass) bằng cách cấu hình class utility fallback tập trung trong file cài đặt thay vì sửa thủ công rải rác từng div ở các trang của bác sĩ/lễ tân?</t>
  </si>
  <si>
    <t>Claude: Đề xuất sửa mã nguồn thủ công CSS tại từng file trang đơn lẻ. Việc này rất dễ gây lỗi bất đồng bộ và thiếu sót UI. Tôi chọn cấu hình class fallback tập trung tại `tailwind.config.js` để toàn bộ hệ thống tự động kế thừa mượt mà.</t>
  </si>
  <si>
    <t>Kịch bản phân rã và fix lỗi render đa trình duyệt; File: `tailwind.config.js`</t>
  </si>
  <si>
    <t>Có — Tại sao em lại tách luồng tạo lịch làm việc của Admin qua một lớp kiểm duyệt chuyên biệt `ScheduleValidator` thay vì lưu trực tiếp xuống DB như AI gợi ý?</t>
  </si>
  <si>
    <t>Claude: Lưu thô ca làm việc trực tiếp làm phát sinh rủi ro Admin xếp ca trùng phòng vô lý hoặc tổng số giờ vượt quá 8 tiếng luật lao động. Lớp validator của tôi tự động gom mảng ca, chạy hàm `Duration` tích lũy tổng số phút để đánh chặn và bảo toàn tính đúng đắn luồng y tế.</t>
  </si>
  <si>
    <t>Bộ khung nghiệp vụ kiểm soát lịch trực nhân sự; File: `ScheduleService.java`</t>
  </si>
  <si>
    <t>Có — Giải thích cách ứng dụng Google MediaPipe Face Mesh để trích xuất đa giác hình ảnh da mặt sạch phục vụ cho mô hình AI quét da chẩn đoán?</t>
  </si>
  <si>
    <t>Claude: Chỉ hướng dẫn vẽ các đường lưới mesh lên canvas để trang trí UI bề ngoài. Tôi viết lại thuật toán dùng 468 tọa độ điểm biên làm ranh giới đa giác, dùng hàm cắt Canvas của HTML5 để tự động loại bỏ tóc, mắt, nền phòng thừa, lấy duy nhất ảnh da mặt JPEG sạch làm đầu vào model.</t>
  </si>
  <si>
    <t>Pipeline xử lý và tiền xử lý hình ảnh AI đầu vào; File: `SkinScanner.tsx`</t>
  </si>
  <si>
    <t>Có — Giải thích kịch bản hoạt động của mẫu kiến trúc tác vụ phân tuyến (Routing Agent Pattern) kết hợp RAG được em cài đặt cho phân hệ AI Chatbot tư vấn?</t>
  </si>
  <si>
    <t>ChatGPT: Gợi ý dùng một prompt chỉ định chung chung dễ làm AI bị ảo giác y tế và gây quá tải quầy Lễ tân. Tôi thiết kế bộ phân loại ý định (Intent Classifier) ở Backend, câu hỏi phổ thông kích hoạt RAG gọi dữ liệu cục bộ an toàn, câu hỏi nguy cấp lập tức phát sự kiện đẩy thẳng vào hàng chờ của Lễ tân.</t>
  </si>
  <si>
    <t>Kiến trúc AI Agent điều phối và phân tuyến tin nhắn bảo mật; File: `ChatbotController.java`</t>
  </si>
  <si>
    <t>Có — Tại sao em lại bọc dữ liệu hình ảnh quét da của bệnh nhân vào một đối tượng trừu tượng hóa mã hóa vô danh (`EncryptedImagePayload`) qua API Gateway thay vì truyền file thô như AI xúi?</t>
  </si>
  <si>
    <t>ChatGPT: Truyền file thô kèm ID bệnh nhân trực tiếp lên API Gateway làm rò rỉ dữ liệu định danh y tế nhạy cảm. Hệ thống của tôi nén dung lượng, bọc vào DTO trừu tượng hóa và thay thế toàn bộ thông tin cá nhân bằng mã chuỗi UUID vô danh sinh ngẫu nhiên.</t>
  </si>
  <si>
    <t>Mô hình trừu tượng hóa API contracts bảo vệ quyền riêng tư y tế; File: `EncryptedImagePayload.java`</t>
  </si>
  <si>
    <t>Có — Tính năng nâng cao sáng tạo 'Dòng thời gian phân tích phục hồi sắc tố da thông minh' do Gemini đề xuất mang lại giá trị công nghệ đột phá gì cho đồ án môn học?</t>
  </si>
  <si>
    <t>AI: Gợi ý tính năng nhắc lịch uống thuốc qua Email quá tầm thường, mang tính CSKH thông thường. Tính năng cao cấp của tôi dùng thuật toán Computer Vision so sánh độ lệch sắc tố và mật độ tổn thương giữa ảnh soi cũ và mới để tự động vẽ biểu đồ trực quan, giúp bác sĩ đánh giá độ hiệu quả phác đồ.</t>
  </si>
  <si>
    <t>Kiến trúc phân tích dự báo tiến trình phục hồi lâm sàng nâng cao; File: `ProgressAnalyzer.java`</t>
  </si>
  <si>
    <t>Có — Thuật toán kiểm tra trùng lịch làm việc nhân viên (Schedule Clash Detection Algorithm) giải quyết bài toán rà soát dữ liệu ra sao để không bị nghẽn RAM server JVM?</t>
  </si>
  <si>
    <t>AI: Đề xuất vòng lặp `for` lồng nhau ở tầng Java chạy với độ phức tạp $O(N^2)$ gây nghẽn đơ CPU khi dữ liệu lớn. Thuật toán của tôi ép thực hiện phép toán giao khoảng (Interval Overlap) đa điều kiện trong duy nhất 1 câu select dưới MySQL native, trả kết quả chặn đứng lập tức.</t>
  </si>
  <si>
    <t>Thuật toán rà soát xung đột ca trực trực tiếp tại cơ sở dữ liệu; Custom Query Repository</t>
  </si>
  <si>
    <t>Có — Giải thích tại sao chọn bổ sung bước cân bằng trắng ảnh đầu vào thay vì chỉ tăng ngưỡng confidence như Claude đề xuất ban đầu để sửa lỗi AI chẩn đoán da sai?</t>
  </si>
  <si>
    <t>Claude: Đề xuất tăng threshold từ 0.5 lên 0.9. ChatGPT hậu kiểm chỉ ra đây không giải quyết gốc rễ lệch màu ảnh đầu vào (domain shift). Tôi bổ sung bước White Balance Normalization trước khi đưa ảnh vào model.</t>
  </si>
  <si>
    <t>So sánh kết quả trước/sau; File: `SkinPreprocessing.py`</t>
  </si>
  <si>
    <t>Có — Vì sao em chọn thuật toán phân công lễ tân theo tải thấp nhất (Least-Busy Assignment) thay vì gán ngẫu nhiên như Claude gợi ý cho luồng chatbot khẩn cấp?</t>
  </si>
  <si>
    <t>Claude: Gợi ý gán ngẫu nhiên bất kỳ Lễ tân nào, có thể đẩy ca khẩn cấp cho người đã offline. ChatGPT hậu kiểm cảnh báo rủi ro thả rơi ca chat. Tôi thiết kế lại theo tải thấp nhất kèm tin nhắn giữ chỗ dự phòng.</t>
  </si>
  <si>
    <t>File: `ChatAssignmentService.java`</t>
  </si>
  <si>
    <t>Có — Giải thích tại sao chuyển từ Polling sang kênh SSE riêng theo cuộc hội thoại cho khung chat Lễ tân-Bệnh nhân?</t>
  </si>
  <si>
    <t>Claude: Gợi ý polling lại toàn bộ 100 tin nhắn mỗi 3 giây gây giật hình, mất vị trí cuộn. Tôi tái sử dụng hạ tầng SSE đã có, chỉ append tin nhắn mới, giữ auto-scroll thông minh.</t>
  </si>
  <si>
    <t>File: `PatientChatWindow.tsx`</t>
  </si>
  <si>
    <t>Có — Vì sao em phân rã lại pipeline Voice-to-Form thành 4 giai đoạn thay vì dán nguyên khối văn bản thô như Claude gợi ý?</t>
  </si>
  <si>
    <t>Claude: Gợi ý ghi âm rồi dán thẳng văn bản thô vào ô ghi chú, không tự điền được các trường riêng biệt. Tôi phân rã thành Streaming STT + Entity Extraction + Field Mapping + Human Confirmation.</t>
  </si>
  <si>
    <t>File: `ConsultationVoiceService.java`</t>
  </si>
  <si>
    <t>Có — Tại sao em thêm cờ `isUserEdited` cho từng trường trong DTO gợi ý từ giọng nói thay vì ghi đè thẳng toàn bộ state form như Claude gợi ý?</t>
  </si>
  <si>
    <t>Claude: Gợi ý ghi đè thẳng toàn bộ state form mỗi khi có kết quả AI mới, có thể xóa mất dữ liệu bác sĩ đang gõ tay. Tôi thêm cờ isUserEdited để AI không ghi đè trường đã được người dùng chỉnh sửa.</t>
  </si>
  <si>
    <t>File: `VoiceFieldSuggestion.java`</t>
  </si>
  <si>
    <t>Có — Vì sao em thay thế thẻ select tĩnh bằng Searchable Combobox cho màn hình chọn thuốc thay vì chỉ thêm optgroup như Claude gợi ý?</t>
  </si>
  <si>
    <t>Claude: Gợi ý gom nhóm theo chữ cái đầu bằng optgroup, vẫn buộc bác sĩ nhớ chính xác chữ cái và cuộn thủ công. Tôi tái sử dụng Searchable Combobox Pattern cho phép gõ tìm theo tên/hoạt chất/công dụng.</t>
  </si>
  <si>
    <t>File: `MedicineCombobox.tsx`</t>
  </si>
  <si>
    <t>Có — Giải thích tại sao em thay hai cột cờ boolean bằng Máy trạng thái tập trung cho luồng xác nhận lịch khám giữa Bác sĩ và Kỹ thuật viên?</t>
  </si>
  <si>
    <t>Claude: Gợi ý hai cột cờ độc lập, có thể dẫn tới trạng thái mâu thuẫn khi xác nhận và hủy xảy ra gần như đồng thời. Tôi áp dụng FSM kèm Atomic Conditional Update để chặn xung đột.</t>
  </si>
  <si>
    <t>File: `AppointmentService.java`</t>
  </si>
  <si>
    <t>Có — Vì sao em chọn tích hợp thư viện FullCalendar thay vì tự viết lịch kéo-chọn từ đầu như Claude gợi ý cho màn hình tạo ca của Admin?</t>
  </si>
  <si>
    <t>Claude: Gợi ý tự viết toàn bộ logic tính tọa độ pixel kéo-thả từ đầu, tốn công và dễ lỗi căn chỉnh. Tôi tái sử dụng FullCalendar với chế độ selectable có sẵn cho đúng bài toán.</t>
  </si>
  <si>
    <t>File: `StaffRosterCalendar.tsx`</t>
  </si>
  <si>
    <t>Có — Giải thích tại sao em tự xây component SafeImage dùng onError thay vì dùng prop fallbackSrc mà Claude khẳng định có sẵn trong Next.js Image?</t>
  </si>
  <si>
    <t>Claude: Khẳng định Next.js Image có prop fallbackSrc, nhưng ChatGPT hậu kiểm và việc build TypeScript cho thấy prop này không tồn tại. Tôi tự xây SafeImage dùng sự kiện onError thật kết hợp lazy-loading để tối ưu hiệu năng.</t>
  </si>
  <si>
    <t>File: `SafeImage.tsx`</t>
  </si>
  <si>
    <t>Có — Giải thích tại sao chọn checklist audit phân tầng theo mức độ ưu tiên thay vì danh sách phẳng 40 mục như Claude gợi ý ban đầu?</t>
  </si>
  <si>
    <t>Claude: Liệt kê 40 mục phẳng không phân nhóm, dễ khiến audit mất phương hướng. Tôi phân theo 3 tầng kiến trúc và gắn nhãn Critical/Medium/Low để ưu tiên rà soát bảo mật/tài chính trước.</t>
  </si>
  <si>
    <t>File: `AuditPlan.md`</t>
  </si>
  <si>
    <t>Có — Vì sao em hợp nhất 3 cách viết Atomic Update rời rạc thành một helper chung thay vì giữ nguyên như AI kết luận là đã ổn định?</t>
  </si>
  <si>
    <t>Claude: Kết luận 3 module ổn định, không cần đổi. Tôi nhận diện cả 3 đều tự phát minh lại cùng một pattern kiểm tra điều kiện nguyên tử, nên hợp nhất thành `ConditionalAtomicUpdateHelper` dùng chung.</t>
  </si>
  <si>
    <t>File: `ConditionalAtomicUpdateHelper.java`</t>
  </si>
  <si>
    <t>Có — Giải thích tại sao em giả lập transcript trả về trễ để kiểm thử thay vì tin vào giả định AI luôn nhanh hơn thao tác người dùng?</t>
  </si>
  <si>
    <t>Claude: Khẳng định AI luôn xử lý nhanh hơn nên không có xung đột. Tôi giả lập trễ 3 giây và tái hiện đúng lỗi ghi gợi ý vào ca khám đã đóng, từ đó bổ sung điều kiện chặn.</t>
  </si>
  <si>
    <t>File: `VoiceLateArrival_Test.java`</t>
  </si>
  <si>
    <t>Có — Vì sao em không tin vào kết luận "toàn bộ endpoint đã nhất quán" của Claude mà tự viết test Reflection để rà soát phân quyền?</t>
  </si>
  <si>
    <t>Claude: Báo cáo toàn bộ endpoint đã kiểm tra role đầy đủ. Tôi tự kiểm tra thủ công và phát hiện 2 endpoint Tuần 10 thiếu @PreAuthorize, sau đó viết test Reflection để tự động hóa việc rà soát này.</t>
  </si>
  <si>
    <t>File: `SecurityCoverageTest.java`</t>
  </si>
  <si>
    <t>Có — Giải thích tại sao em chuyển từ load test tuần tự sang test đồng thời thực sự bằng Synchronizing Timer?</t>
  </si>
  <si>
    <t>Claude: Đề xuất test tuần tự cách nhau 1 giây cho 'an toàn, dễ debug'. Tôi chứng minh test này không nhạy với race condition bằng cách chèn lỗi giả vẫn PASS, nên chuyển sang 50 luồng đồng thời thực sự.</t>
  </si>
  <si>
    <t>File: `ConcurrentBookingVoucher.jmx`</t>
  </si>
  <si>
    <t>Có — Vì sao em không chấp nhận nhận xét chung chung "giao diện đẹp, không vấn đề gì" của Claude mà tự đối chiếu 4 Dashboard?</t>
  </si>
  <si>
    <t>Claude: Nhận xét chung chung, không chỉ ra khác biệt cụ thể. Tôi tự đối chiếu và phát hiện Admin Dashboard (tuần 6) chưa được retrofit theo 2 bài học ở tuần 8 (giới hạn Liquid Glass, AppIcon).</t>
  </si>
  <si>
    <t>File: `AdminDashboardLayout.tsx` cập nhật</t>
  </si>
  <si>
    <t>Có — Tại sao em trình bày roadmap khắc phục theo ma trận Mức độ nghiêm trọng x Effort thay vì liệt kê theo thứ tự phát hiện như Claude gợi ý?</t>
  </si>
  <si>
    <t>Claude: Liệt kê phát hiện theo đúng thứ tự Entry 001-006, không phân mức độ ưu tiên. Tôi xếp lại theo ma trận nghiêm trọng/effort để thể hiện đúng tư duy ưu tiên rủi ro trong báo cáo audit.</t>
  </si>
  <si>
    <t>File: `AuditRoadmap.xlsx`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</si>
</sst>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charset val="1"/>
    </font>
    <font>
      <b/>
      <sz val="16"/>
      <color rgb="FF2E75B6"/>
      <name val="Calibri"/>
      <charset val="1"/>
    </font>
    <font>
      <i/>
      <sz val="10"/>
      <color rgb="FF666666"/>
      <name val="Calibri"/>
      <charset val="1"/>
    </font>
    <font>
      <b/>
      <sz val="14"/>
      <color rgb="FF0070C0"/>
      <name val="Calibri"/>
      <charset val="1"/>
    </font>
    <font>
      <b/>
      <sz val="11"/>
      <name val="Calibri"/>
      <charset val="1"/>
    </font>
    <font>
      <sz val="11"/>
      <name val="Calibri"/>
      <charset val="1"/>
    </font>
    <font>
      <b/>
      <sz val="11"/>
      <color rgb="FFFFFFFF"/>
      <name val="Calibri"/>
      <charset val="1"/>
    </font>
  </fonts>
  <fills count="6">
    <fill>
      <patternFill patternType="none"/>
    </fill>
    <fill>
      <patternFill patternType="gray125"/>
    </fill>
    <fill>
      <patternFill patternType="solid">
        <fgColor rgb="FF0070C0"/>
        <bgColor rgb="FF008080"/>
      </patternFill>
    </fill>
    <fill>
      <patternFill patternType="solid">
        <fgColor rgb="FFFFFFFF"/>
        <bgColor rgb="FFF7F9FB"/>
      </patternFill>
    </fill>
    <fill>
      <patternFill patternType="solid">
        <fgColor rgb="FFF7F9FB"/>
        <bgColor rgb="FFFFFFFF"/>
      </patternFill>
    </fill>
    <fill>
      <patternFill patternType="solid">
        <fgColor rgb="FFDDEBF7"/>
        <bgColor rgb="FFD9D9D9"/>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s>
  <cellStyleXfs count="1">
    <xf numFmtId="0" fontId="0" fillId="0" borderId="0"/>
  </cellStyleXfs>
  <cellXfs count="24">
    <xf numFmtId="0" fontId="0" fillId="0" borderId="0" xfId="0"/>
    <xf numFmtId="0" fontId="4" fillId="5" borderId="1" xfId="0" applyFont="1" applyFill="1" applyBorder="1" applyAlignment="1">
      <alignment horizontal="center" vertical="center" wrapText="1"/>
    </xf>
    <xf numFmtId="0" fontId="5" fillId="0" borderId="2" xfId="0" applyFont="1" applyBorder="1" applyAlignment="1">
      <alignment horizontal="left" vertical="top" wrapText="1"/>
    </xf>
    <xf numFmtId="0" fontId="6" fillId="2" borderId="1" xfId="0" applyFont="1" applyFill="1" applyBorder="1" applyAlignment="1">
      <alignment horizontal="center" vertical="center" wrapText="1"/>
    </xf>
    <xf numFmtId="0" fontId="2" fillId="0" borderId="0" xfId="0" applyFont="1"/>
    <xf numFmtId="0" fontId="1" fillId="0" borderId="0" xfId="0" applyFont="1" applyAlignment="1">
      <alignment horizontal="center" vertical="center" wrapText="1"/>
    </xf>
    <xf numFmtId="0" fontId="2" fillId="0" borderId="0" xfId="0" applyFont="1"/>
    <xf numFmtId="0" fontId="3" fillId="0" borderId="0" xfId="0" applyFont="1"/>
    <xf numFmtId="0" fontId="4" fillId="0" borderId="0" xfId="0" applyFont="1"/>
    <xf numFmtId="0" fontId="5" fillId="0" borderId="0" xfId="0" applyFont="1"/>
    <xf numFmtId="164" fontId="0" fillId="0" borderId="0" xfId="0" applyNumberFormat="1"/>
    <xf numFmtId="0" fontId="6"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top" wrapText="1"/>
    </xf>
    <xf numFmtId="164" fontId="5" fillId="3"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164" fontId="5" fillId="4"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164" fontId="4" fillId="5" borderId="1"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0" xfId="0" applyFont="1" applyAlignment="1">
      <alignment horizontal="left"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9FB"/>
      <rgbColor rgb="FFDDEBF7"/>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tabSelected="1" zoomScaleNormal="100" workbookViewId="0">
      <selection activeCell="G18" sqref="G18"/>
    </sheetView>
  </sheetViews>
  <sheetFormatPr defaultColWidth="8.6328125" defaultRowHeight="14.5" x14ac:dyDescent="0.35"/>
  <cols>
    <col min="1" max="1" width="10" customWidth="1"/>
    <col min="2" max="2" width="46" customWidth="1"/>
    <col min="3" max="3" width="16" customWidth="1"/>
    <col min="4" max="4" width="14" customWidth="1"/>
    <col min="5" max="5" width="16" customWidth="1"/>
    <col min="6" max="6" width="20" customWidth="1"/>
  </cols>
  <sheetData>
    <row r="1" spans="1:6" ht="27.75" customHeight="1" x14ac:dyDescent="0.35">
      <c r="A1" s="5" t="s">
        <v>0</v>
      </c>
      <c r="B1" s="5"/>
      <c r="C1" s="5"/>
      <c r="D1" s="5"/>
      <c r="E1" s="5"/>
      <c r="F1" s="5"/>
    </row>
    <row r="2" spans="1:6" x14ac:dyDescent="0.35">
      <c r="A2" s="6" t="s">
        <v>1</v>
      </c>
    </row>
    <row r="4" spans="1:6" ht="18.5" x14ac:dyDescent="0.45">
      <c r="A4" s="7" t="s">
        <v>2</v>
      </c>
    </row>
    <row r="5" spans="1:6" x14ac:dyDescent="0.35">
      <c r="A5" s="8" t="s">
        <v>3</v>
      </c>
      <c r="C5" s="9" t="s">
        <v>4</v>
      </c>
    </row>
    <row r="6" spans="1:6" x14ac:dyDescent="0.35">
      <c r="A6" s="8" t="s">
        <v>5</v>
      </c>
      <c r="C6" s="9" t="s">
        <v>6</v>
      </c>
    </row>
    <row r="7" spans="1:6" x14ac:dyDescent="0.35">
      <c r="A7" s="8" t="s">
        <v>7</v>
      </c>
      <c r="C7" s="9" t="s">
        <v>8</v>
      </c>
    </row>
    <row r="8" spans="1:6" x14ac:dyDescent="0.35">
      <c r="A8" s="8" t="s">
        <v>9</v>
      </c>
      <c r="C8" s="9" t="s">
        <v>10</v>
      </c>
    </row>
    <row r="10" spans="1:6" ht="18.5" x14ac:dyDescent="0.45">
      <c r="A10" s="7" t="s">
        <v>11</v>
      </c>
    </row>
    <row r="11" spans="1:6" x14ac:dyDescent="0.35">
      <c r="A11" s="8" t="s">
        <v>12</v>
      </c>
      <c r="C11" s="9">
        <f>C29</f>
        <v>585</v>
      </c>
    </row>
    <row r="12" spans="1:6" x14ac:dyDescent="0.35">
      <c r="A12" s="8" t="s">
        <v>13</v>
      </c>
      <c r="C12" s="9">
        <f>D29</f>
        <v>81</v>
      </c>
    </row>
    <row r="13" spans="1:6" x14ac:dyDescent="0.35">
      <c r="A13" s="8" t="s">
        <v>14</v>
      </c>
      <c r="C13" s="10">
        <f>C12/C11</f>
        <v>0.13846153846153847</v>
      </c>
    </row>
    <row r="14" spans="1:6" x14ac:dyDescent="0.35">
      <c r="A14" s="8" t="s">
        <v>15</v>
      </c>
      <c r="C14" s="9">
        <f>F29</f>
        <v>34</v>
      </c>
    </row>
    <row r="16" spans="1:6" ht="18.5" x14ac:dyDescent="0.45">
      <c r="A16" s="7" t="s">
        <v>16</v>
      </c>
    </row>
    <row r="17" spans="1:6" ht="29" x14ac:dyDescent="0.35">
      <c r="A17" s="11" t="s">
        <v>17</v>
      </c>
      <c r="B17" s="11" t="s">
        <v>18</v>
      </c>
      <c r="C17" s="11" t="s">
        <v>19</v>
      </c>
      <c r="D17" s="11" t="s">
        <v>20</v>
      </c>
      <c r="E17" s="11" t="s">
        <v>21</v>
      </c>
      <c r="F17" s="11" t="s">
        <v>22</v>
      </c>
    </row>
    <row r="18" spans="1:6" x14ac:dyDescent="0.35">
      <c r="A18" s="12" t="s">
        <v>23</v>
      </c>
      <c r="B18" s="13" t="s">
        <v>24</v>
      </c>
      <c r="C18" s="12">
        <v>50</v>
      </c>
      <c r="D18" s="12">
        <v>10</v>
      </c>
      <c r="E18" s="14">
        <f t="shared" ref="E18:E29" si="0">D18/C18</f>
        <v>0.2</v>
      </c>
      <c r="F18" s="12">
        <v>3</v>
      </c>
    </row>
    <row r="19" spans="1:6" ht="29" x14ac:dyDescent="0.35">
      <c r="A19" s="15" t="s">
        <v>25</v>
      </c>
      <c r="B19" s="16" t="s">
        <v>26</v>
      </c>
      <c r="C19" s="15">
        <v>58</v>
      </c>
      <c r="D19" s="15">
        <v>11</v>
      </c>
      <c r="E19" s="17">
        <f t="shared" si="0"/>
        <v>0.18965517241379309</v>
      </c>
      <c r="F19" s="15">
        <v>3</v>
      </c>
    </row>
    <row r="20" spans="1:6" ht="29" x14ac:dyDescent="0.35">
      <c r="A20" s="12" t="s">
        <v>27</v>
      </c>
      <c r="B20" s="13" t="s">
        <v>28</v>
      </c>
      <c r="C20" s="12">
        <v>30</v>
      </c>
      <c r="D20" s="12">
        <v>6</v>
      </c>
      <c r="E20" s="14">
        <f t="shared" si="0"/>
        <v>0.2</v>
      </c>
      <c r="F20" s="12">
        <v>3</v>
      </c>
    </row>
    <row r="21" spans="1:6" ht="29" x14ac:dyDescent="0.35">
      <c r="A21" s="15" t="s">
        <v>29</v>
      </c>
      <c r="B21" s="16" t="s">
        <v>30</v>
      </c>
      <c r="C21" s="15">
        <v>42</v>
      </c>
      <c r="D21" s="15">
        <v>6</v>
      </c>
      <c r="E21" s="17">
        <f t="shared" si="0"/>
        <v>0.14285714285714285</v>
      </c>
      <c r="F21" s="15">
        <v>3</v>
      </c>
    </row>
    <row r="22" spans="1:6" ht="29" x14ac:dyDescent="0.35">
      <c r="A22" s="12" t="s">
        <v>31</v>
      </c>
      <c r="B22" s="13" t="s">
        <v>32</v>
      </c>
      <c r="C22" s="12">
        <v>60</v>
      </c>
      <c r="D22" s="12">
        <v>7</v>
      </c>
      <c r="E22" s="14">
        <f t="shared" si="0"/>
        <v>0.11666666666666667</v>
      </c>
      <c r="F22" s="12">
        <v>3</v>
      </c>
    </row>
    <row r="23" spans="1:6" ht="29" x14ac:dyDescent="0.35">
      <c r="A23" s="15" t="s">
        <v>33</v>
      </c>
      <c r="B23" s="16" t="s">
        <v>34</v>
      </c>
      <c r="C23" s="15">
        <v>48</v>
      </c>
      <c r="D23" s="15">
        <v>6</v>
      </c>
      <c r="E23" s="17">
        <f t="shared" si="0"/>
        <v>0.125</v>
      </c>
      <c r="F23" s="15">
        <v>3</v>
      </c>
    </row>
    <row r="24" spans="1:6" ht="29" x14ac:dyDescent="0.35">
      <c r="A24" s="12" t="s">
        <v>35</v>
      </c>
      <c r="B24" s="13" t="s">
        <v>36</v>
      </c>
      <c r="C24" s="12">
        <v>58</v>
      </c>
      <c r="D24" s="12">
        <v>6</v>
      </c>
      <c r="E24" s="14">
        <f t="shared" si="0"/>
        <v>0.10344827586206896</v>
      </c>
      <c r="F24" s="12">
        <v>3</v>
      </c>
    </row>
    <row r="25" spans="1:6" ht="43.5" x14ac:dyDescent="0.35">
      <c r="A25" s="15" t="s">
        <v>37</v>
      </c>
      <c r="B25" s="16" t="s">
        <v>38</v>
      </c>
      <c r="C25" s="15">
        <v>42</v>
      </c>
      <c r="D25" s="15">
        <v>6</v>
      </c>
      <c r="E25" s="17">
        <f t="shared" si="0"/>
        <v>0.14285714285714285</v>
      </c>
      <c r="F25" s="15">
        <v>3</v>
      </c>
    </row>
    <row r="26" spans="1:6" ht="29" x14ac:dyDescent="0.35">
      <c r="A26" s="12" t="s">
        <v>39</v>
      </c>
      <c r="B26" s="13" t="s">
        <v>40</v>
      </c>
      <c r="C26" s="12">
        <v>67</v>
      </c>
      <c r="D26" s="12">
        <v>7</v>
      </c>
      <c r="E26" s="14">
        <f t="shared" si="0"/>
        <v>0.1044776119402985</v>
      </c>
      <c r="F26" s="12">
        <v>3</v>
      </c>
    </row>
    <row r="27" spans="1:6" ht="58" x14ac:dyDescent="0.35">
      <c r="A27" s="15" t="s">
        <v>41</v>
      </c>
      <c r="B27" s="16" t="s">
        <v>42</v>
      </c>
      <c r="C27" s="15">
        <v>80</v>
      </c>
      <c r="D27" s="15">
        <v>9</v>
      </c>
      <c r="E27" s="17">
        <f t="shared" si="0"/>
        <v>0.1125</v>
      </c>
      <c r="F27" s="15">
        <v>4</v>
      </c>
    </row>
    <row r="28" spans="1:6" ht="43.5" x14ac:dyDescent="0.35">
      <c r="A28" s="12" t="s">
        <v>43</v>
      </c>
      <c r="B28" s="13" t="s">
        <v>44</v>
      </c>
      <c r="C28" s="12">
        <v>50</v>
      </c>
      <c r="D28" s="12">
        <v>7</v>
      </c>
      <c r="E28" s="14">
        <f t="shared" si="0"/>
        <v>0.14000000000000001</v>
      </c>
      <c r="F28" s="12">
        <v>3</v>
      </c>
    </row>
    <row r="29" spans="1:6" x14ac:dyDescent="0.35">
      <c r="A29" s="18" t="s">
        <v>45</v>
      </c>
      <c r="B29" s="18"/>
      <c r="C29" s="18">
        <f>SUM(C18:C28)</f>
        <v>585</v>
      </c>
      <c r="D29" s="18">
        <f>SUM(D18:D28)</f>
        <v>81</v>
      </c>
      <c r="E29" s="19">
        <f t="shared" si="0"/>
        <v>0.13846153846153847</v>
      </c>
      <c r="F29" s="18">
        <f>SUM(F18:F28)</f>
        <v>34</v>
      </c>
    </row>
    <row r="30" spans="1:6" x14ac:dyDescent="0.35">
      <c r="A30" s="4" t="s">
        <v>46</v>
      </c>
      <c r="B30" s="4"/>
      <c r="C30" s="4"/>
      <c r="D30" s="4"/>
      <c r="E30" s="4"/>
      <c r="F30" s="4"/>
    </row>
    <row r="32" spans="1:6" ht="18.5" x14ac:dyDescent="0.45">
      <c r="A32" s="7" t="s">
        <v>47</v>
      </c>
    </row>
    <row r="33" spans="1:6" ht="15" customHeight="1" x14ac:dyDescent="0.35">
      <c r="A33" s="11" t="s">
        <v>48</v>
      </c>
      <c r="B33" s="3" t="s">
        <v>49</v>
      </c>
      <c r="C33" s="3"/>
      <c r="D33" s="3"/>
    </row>
    <row r="34" spans="1:6" ht="60" customHeight="1" x14ac:dyDescent="0.35">
      <c r="A34" s="20" t="s">
        <v>50</v>
      </c>
      <c r="B34" s="2" t="s">
        <v>51</v>
      </c>
      <c r="C34" s="2"/>
      <c r="D34" s="2"/>
      <c r="F34" s="21" t="s">
        <v>52</v>
      </c>
    </row>
    <row r="35" spans="1:6" ht="60" customHeight="1" x14ac:dyDescent="0.35">
      <c r="A35" s="20" t="s">
        <v>53</v>
      </c>
      <c r="B35" s="2" t="s">
        <v>54</v>
      </c>
      <c r="C35" s="2"/>
      <c r="D35" s="2"/>
      <c r="F35" s="21" t="s">
        <v>55</v>
      </c>
    </row>
    <row r="36" spans="1:6" ht="60" customHeight="1" x14ac:dyDescent="0.35">
      <c r="A36" s="20" t="s">
        <v>56</v>
      </c>
      <c r="B36" s="2" t="s">
        <v>57</v>
      </c>
      <c r="C36" s="2"/>
      <c r="D36" s="2"/>
      <c r="F36" s="21" t="s">
        <v>58</v>
      </c>
    </row>
    <row r="38" spans="1:6" ht="18.5" x14ac:dyDescent="0.45">
      <c r="A38" s="7" t="s">
        <v>59</v>
      </c>
    </row>
    <row r="39" spans="1:6" ht="43.5" x14ac:dyDescent="0.35">
      <c r="A39" s="11" t="s">
        <v>60</v>
      </c>
      <c r="B39" s="11" t="s">
        <v>61</v>
      </c>
      <c r="C39" s="11" t="s">
        <v>62</v>
      </c>
    </row>
    <row r="40" spans="1:6" ht="29" x14ac:dyDescent="0.35">
      <c r="A40" s="22" t="s">
        <v>63</v>
      </c>
      <c r="B40" s="23">
        <f>COUNTIF('2. Detailed Audit Log'!D:D,A40)</f>
        <v>24</v>
      </c>
      <c r="C40" s="22" t="s">
        <v>64</v>
      </c>
    </row>
    <row r="41" spans="1:6" ht="43.5" x14ac:dyDescent="0.35">
      <c r="A41" s="22" t="s">
        <v>65</v>
      </c>
      <c r="B41" s="23">
        <f>COUNTIF('2. Detailed Audit Log'!D:D,A41)</f>
        <v>24</v>
      </c>
      <c r="C41" s="22" t="s">
        <v>64</v>
      </c>
    </row>
    <row r="42" spans="1:6" ht="29" x14ac:dyDescent="0.35">
      <c r="A42" s="22" t="s">
        <v>66</v>
      </c>
      <c r="B42" s="23">
        <f>COUNTIF('2. Detailed Audit Log'!D:D,A42)</f>
        <v>18</v>
      </c>
      <c r="C42" s="22" t="s">
        <v>64</v>
      </c>
    </row>
    <row r="43" spans="1:6" ht="29" x14ac:dyDescent="0.35">
      <c r="A43" s="22" t="s">
        <v>67</v>
      </c>
      <c r="B43" s="23">
        <f>COUNTIF('2. Detailed Audit Log'!D:D,A43)</f>
        <v>15</v>
      </c>
      <c r="C43" s="22" t="s">
        <v>64</v>
      </c>
    </row>
  </sheetData>
  <mergeCells count="6">
    <mergeCell ref="B36:D36"/>
    <mergeCell ref="A1:F1"/>
    <mergeCell ref="A30:F30"/>
    <mergeCell ref="B33:D33"/>
    <mergeCell ref="B34:D34"/>
    <mergeCell ref="B35:D3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4"/>
  <sheetViews>
    <sheetView zoomScaleNormal="100" workbookViewId="0"/>
  </sheetViews>
  <sheetFormatPr defaultColWidth="8.6328125" defaultRowHeight="14.5" x14ac:dyDescent="0.35"/>
  <cols>
    <col min="1" max="1" width="8" customWidth="1"/>
    <col min="2" max="2" width="10" customWidth="1"/>
    <col min="3" max="3" width="15" customWidth="1"/>
    <col min="4" max="4" width="20" customWidth="1"/>
    <col min="5" max="5" width="32" customWidth="1"/>
    <col min="6" max="7" width="34" customWidth="1"/>
    <col min="8" max="8" width="58" customWidth="1"/>
    <col min="9" max="9" width="24" customWidth="1"/>
  </cols>
  <sheetData>
    <row r="1" spans="1:9" ht="27.75" customHeight="1" x14ac:dyDescent="0.35">
      <c r="A1" s="5" t="s">
        <v>68</v>
      </c>
      <c r="B1" s="5"/>
      <c r="C1" s="5"/>
      <c r="D1" s="5"/>
      <c r="E1" s="5"/>
      <c r="F1" s="5"/>
      <c r="G1" s="5"/>
      <c r="H1" s="5"/>
      <c r="I1" s="5"/>
    </row>
    <row r="2" spans="1:9" x14ac:dyDescent="0.35">
      <c r="A2" s="4" t="s">
        <v>69</v>
      </c>
      <c r="B2" s="4"/>
      <c r="C2" s="4"/>
      <c r="D2" s="4"/>
      <c r="E2" s="4"/>
      <c r="F2" s="4"/>
      <c r="G2" s="4"/>
      <c r="H2" s="4"/>
      <c r="I2" s="4"/>
    </row>
    <row r="3" spans="1:9" x14ac:dyDescent="0.35">
      <c r="A3" s="11" t="s">
        <v>17</v>
      </c>
      <c r="B3" s="11" t="s">
        <v>70</v>
      </c>
      <c r="C3" s="11" t="s">
        <v>71</v>
      </c>
      <c r="D3" s="11" t="s">
        <v>72</v>
      </c>
      <c r="E3" s="11" t="s">
        <v>73</v>
      </c>
      <c r="F3" s="11" t="s">
        <v>74</v>
      </c>
      <c r="G3" s="11" t="s">
        <v>75</v>
      </c>
      <c r="H3" s="11" t="s">
        <v>76</v>
      </c>
      <c r="I3" s="11" t="s">
        <v>77</v>
      </c>
    </row>
    <row r="4" spans="1:9" ht="219.75" customHeight="1" x14ac:dyDescent="0.35">
      <c r="A4" s="12" t="s">
        <v>23</v>
      </c>
      <c r="B4" s="12" t="s">
        <v>78</v>
      </c>
      <c r="C4" s="12" t="s">
        <v>79</v>
      </c>
      <c r="D4" s="12" t="s">
        <v>63</v>
      </c>
      <c r="E4" s="13" t="s">
        <v>80</v>
      </c>
      <c r="F4" s="13" t="s">
        <v>81</v>
      </c>
      <c r="G4" s="13" t="s">
        <v>82</v>
      </c>
      <c r="H4" s="13" t="s">
        <v>83</v>
      </c>
      <c r="I4" s="13" t="s">
        <v>84</v>
      </c>
    </row>
    <row r="5" spans="1:9" ht="219.75" customHeight="1" x14ac:dyDescent="0.35">
      <c r="A5" s="12" t="s">
        <v>23</v>
      </c>
      <c r="B5" s="12" t="s">
        <v>85</v>
      </c>
      <c r="C5" s="12" t="s">
        <v>79</v>
      </c>
      <c r="D5" s="12" t="s">
        <v>63</v>
      </c>
      <c r="E5" s="13" t="s">
        <v>86</v>
      </c>
      <c r="F5" s="13" t="s">
        <v>87</v>
      </c>
      <c r="G5" s="13" t="s">
        <v>88</v>
      </c>
      <c r="H5" s="13" t="s">
        <v>89</v>
      </c>
      <c r="I5" s="13" t="s">
        <v>90</v>
      </c>
    </row>
    <row r="6" spans="1:9" ht="219.75" customHeight="1" x14ac:dyDescent="0.35">
      <c r="A6" s="12" t="s">
        <v>23</v>
      </c>
      <c r="B6" s="12" t="s">
        <v>91</v>
      </c>
      <c r="C6" s="12" t="s">
        <v>92</v>
      </c>
      <c r="D6" s="12" t="s">
        <v>63</v>
      </c>
      <c r="E6" s="13" t="s">
        <v>93</v>
      </c>
      <c r="F6" s="13" t="s">
        <v>94</v>
      </c>
      <c r="G6" s="13" t="s">
        <v>95</v>
      </c>
      <c r="H6" s="13" t="s">
        <v>96</v>
      </c>
      <c r="I6" s="13" t="s">
        <v>97</v>
      </c>
    </row>
    <row r="7" spans="1:9" ht="219.75" customHeight="1" x14ac:dyDescent="0.35">
      <c r="A7" s="12" t="s">
        <v>23</v>
      </c>
      <c r="B7" s="12" t="s">
        <v>98</v>
      </c>
      <c r="C7" s="12" t="s">
        <v>79</v>
      </c>
      <c r="D7" s="12" t="s">
        <v>65</v>
      </c>
      <c r="E7" s="13" t="s">
        <v>99</v>
      </c>
      <c r="F7" s="13" t="s">
        <v>100</v>
      </c>
      <c r="G7" s="13" t="s">
        <v>101</v>
      </c>
      <c r="H7" s="13" t="s">
        <v>102</v>
      </c>
      <c r="I7" s="13" t="s">
        <v>103</v>
      </c>
    </row>
    <row r="8" spans="1:9" ht="219.75" customHeight="1" x14ac:dyDescent="0.35">
      <c r="A8" s="12" t="s">
        <v>23</v>
      </c>
      <c r="B8" s="12" t="s">
        <v>104</v>
      </c>
      <c r="C8" s="12" t="s">
        <v>79</v>
      </c>
      <c r="D8" s="12" t="s">
        <v>65</v>
      </c>
      <c r="E8" s="13" t="s">
        <v>105</v>
      </c>
      <c r="F8" s="13" t="s">
        <v>106</v>
      </c>
      <c r="G8" s="13" t="s">
        <v>107</v>
      </c>
      <c r="H8" s="13" t="s">
        <v>108</v>
      </c>
      <c r="I8" s="13" t="s">
        <v>109</v>
      </c>
    </row>
    <row r="9" spans="1:9" ht="219.75" customHeight="1" x14ac:dyDescent="0.35">
      <c r="A9" s="12" t="s">
        <v>23</v>
      </c>
      <c r="B9" s="12" t="s">
        <v>110</v>
      </c>
      <c r="C9" s="12" t="s">
        <v>79</v>
      </c>
      <c r="D9" s="12" t="s">
        <v>66</v>
      </c>
      <c r="E9" s="13" t="s">
        <v>111</v>
      </c>
      <c r="F9" s="13" t="s">
        <v>112</v>
      </c>
      <c r="G9" s="13" t="s">
        <v>113</v>
      </c>
      <c r="H9" s="13" t="s">
        <v>114</v>
      </c>
      <c r="I9" s="13" t="s">
        <v>115</v>
      </c>
    </row>
    <row r="10" spans="1:9" ht="219.75" customHeight="1" x14ac:dyDescent="0.35">
      <c r="A10" s="12" t="s">
        <v>23</v>
      </c>
      <c r="B10" s="12" t="s">
        <v>116</v>
      </c>
      <c r="C10" s="12" t="s">
        <v>79</v>
      </c>
      <c r="D10" s="12" t="s">
        <v>66</v>
      </c>
      <c r="E10" s="13" t="s">
        <v>117</v>
      </c>
      <c r="F10" s="13" t="s">
        <v>118</v>
      </c>
      <c r="G10" s="13" t="s">
        <v>119</v>
      </c>
      <c r="H10" s="13" t="s">
        <v>120</v>
      </c>
      <c r="I10" s="13" t="s">
        <v>121</v>
      </c>
    </row>
    <row r="11" spans="1:9" ht="219.75" customHeight="1" x14ac:dyDescent="0.35">
      <c r="A11" s="12" t="s">
        <v>23</v>
      </c>
      <c r="B11" s="12" t="s">
        <v>122</v>
      </c>
      <c r="C11" s="12" t="s">
        <v>92</v>
      </c>
      <c r="D11" s="12" t="s">
        <v>66</v>
      </c>
      <c r="E11" s="13" t="s">
        <v>123</v>
      </c>
      <c r="F11" s="13" t="s">
        <v>124</v>
      </c>
      <c r="G11" s="13" t="s">
        <v>125</v>
      </c>
      <c r="H11" s="13" t="s">
        <v>126</v>
      </c>
      <c r="I11" s="13" t="s">
        <v>127</v>
      </c>
    </row>
    <row r="12" spans="1:9" ht="219.75" customHeight="1" x14ac:dyDescent="0.35">
      <c r="A12" s="12" t="s">
        <v>23</v>
      </c>
      <c r="B12" s="12" t="s">
        <v>128</v>
      </c>
      <c r="C12" s="12" t="s">
        <v>92</v>
      </c>
      <c r="D12" s="12" t="s">
        <v>67</v>
      </c>
      <c r="E12" s="13" t="s">
        <v>129</v>
      </c>
      <c r="F12" s="13" t="s">
        <v>130</v>
      </c>
      <c r="G12" s="13" t="s">
        <v>131</v>
      </c>
      <c r="H12" s="13" t="s">
        <v>132</v>
      </c>
      <c r="I12" s="13" t="s">
        <v>133</v>
      </c>
    </row>
    <row r="13" spans="1:9" ht="219.75" customHeight="1" x14ac:dyDescent="0.35">
      <c r="A13" s="12" t="s">
        <v>23</v>
      </c>
      <c r="B13" s="12" t="s">
        <v>134</v>
      </c>
      <c r="C13" s="12" t="s">
        <v>79</v>
      </c>
      <c r="D13" s="12" t="s">
        <v>67</v>
      </c>
      <c r="E13" s="13" t="s">
        <v>135</v>
      </c>
      <c r="F13" s="13" t="s">
        <v>136</v>
      </c>
      <c r="G13" s="13" t="s">
        <v>137</v>
      </c>
      <c r="H13" s="13" t="s">
        <v>138</v>
      </c>
      <c r="I13" s="13" t="s">
        <v>139</v>
      </c>
    </row>
    <row r="14" spans="1:9" ht="219.75" customHeight="1" x14ac:dyDescent="0.35">
      <c r="A14" s="15" t="s">
        <v>25</v>
      </c>
      <c r="B14" s="15" t="s">
        <v>78</v>
      </c>
      <c r="C14" s="15" t="s">
        <v>79</v>
      </c>
      <c r="D14" s="15" t="s">
        <v>63</v>
      </c>
      <c r="E14" s="16" t="s">
        <v>140</v>
      </c>
      <c r="F14" s="16" t="s">
        <v>141</v>
      </c>
      <c r="G14" s="16" t="s">
        <v>142</v>
      </c>
      <c r="H14" s="16" t="s">
        <v>143</v>
      </c>
      <c r="I14" s="16" t="s">
        <v>144</v>
      </c>
    </row>
    <row r="15" spans="1:9" ht="219.75" customHeight="1" x14ac:dyDescent="0.35">
      <c r="A15" s="15" t="s">
        <v>25</v>
      </c>
      <c r="B15" s="15" t="s">
        <v>85</v>
      </c>
      <c r="C15" s="15" t="s">
        <v>79</v>
      </c>
      <c r="D15" s="15" t="s">
        <v>63</v>
      </c>
      <c r="E15" s="16" t="s">
        <v>145</v>
      </c>
      <c r="F15" s="16" t="s">
        <v>146</v>
      </c>
      <c r="G15" s="16" t="s">
        <v>147</v>
      </c>
      <c r="H15" s="16" t="s">
        <v>148</v>
      </c>
      <c r="I15" s="16" t="s">
        <v>149</v>
      </c>
    </row>
    <row r="16" spans="1:9" ht="219.75" customHeight="1" x14ac:dyDescent="0.35">
      <c r="A16" s="15" t="s">
        <v>25</v>
      </c>
      <c r="B16" s="15" t="s">
        <v>91</v>
      </c>
      <c r="C16" s="15" t="s">
        <v>92</v>
      </c>
      <c r="D16" s="15" t="s">
        <v>63</v>
      </c>
      <c r="E16" s="16" t="s">
        <v>150</v>
      </c>
      <c r="F16" s="16" t="s">
        <v>151</v>
      </c>
      <c r="G16" s="16" t="s">
        <v>152</v>
      </c>
      <c r="H16" s="16" t="s">
        <v>153</v>
      </c>
      <c r="I16" s="16" t="s">
        <v>154</v>
      </c>
    </row>
    <row r="17" spans="1:9" ht="219.75" customHeight="1" x14ac:dyDescent="0.35">
      <c r="A17" s="15" t="s">
        <v>25</v>
      </c>
      <c r="B17" s="15" t="s">
        <v>98</v>
      </c>
      <c r="C17" s="15" t="s">
        <v>79</v>
      </c>
      <c r="D17" s="15" t="s">
        <v>65</v>
      </c>
      <c r="E17" s="16" t="s">
        <v>155</v>
      </c>
      <c r="F17" s="16" t="s">
        <v>156</v>
      </c>
      <c r="G17" s="16" t="s">
        <v>157</v>
      </c>
      <c r="H17" s="16" t="s">
        <v>158</v>
      </c>
      <c r="I17" s="16" t="s">
        <v>159</v>
      </c>
    </row>
    <row r="18" spans="1:9" ht="219.75" customHeight="1" x14ac:dyDescent="0.35">
      <c r="A18" s="15" t="s">
        <v>25</v>
      </c>
      <c r="B18" s="15" t="s">
        <v>104</v>
      </c>
      <c r="C18" s="15" t="s">
        <v>79</v>
      </c>
      <c r="D18" s="15" t="s">
        <v>65</v>
      </c>
      <c r="E18" s="16" t="s">
        <v>160</v>
      </c>
      <c r="F18" s="16" t="s">
        <v>161</v>
      </c>
      <c r="G18" s="16" t="s">
        <v>162</v>
      </c>
      <c r="H18" s="16" t="s">
        <v>163</v>
      </c>
      <c r="I18" s="16" t="s">
        <v>164</v>
      </c>
    </row>
    <row r="19" spans="1:9" ht="219.75" customHeight="1" x14ac:dyDescent="0.35">
      <c r="A19" s="15" t="s">
        <v>25</v>
      </c>
      <c r="B19" s="15" t="s">
        <v>110</v>
      </c>
      <c r="C19" s="15" t="s">
        <v>79</v>
      </c>
      <c r="D19" s="15" t="s">
        <v>65</v>
      </c>
      <c r="E19" s="16" t="s">
        <v>165</v>
      </c>
      <c r="F19" s="16" t="s">
        <v>166</v>
      </c>
      <c r="G19" s="16" t="s">
        <v>167</v>
      </c>
      <c r="H19" s="16" t="s">
        <v>168</v>
      </c>
      <c r="I19" s="16" t="s">
        <v>169</v>
      </c>
    </row>
    <row r="20" spans="1:9" ht="219.75" customHeight="1" x14ac:dyDescent="0.35">
      <c r="A20" s="15" t="s">
        <v>25</v>
      </c>
      <c r="B20" s="15" t="s">
        <v>116</v>
      </c>
      <c r="C20" s="15" t="s">
        <v>79</v>
      </c>
      <c r="D20" s="15" t="s">
        <v>66</v>
      </c>
      <c r="E20" s="16" t="s">
        <v>170</v>
      </c>
      <c r="F20" s="16" t="s">
        <v>171</v>
      </c>
      <c r="G20" s="16" t="s">
        <v>172</v>
      </c>
      <c r="H20" s="16" t="s">
        <v>173</v>
      </c>
      <c r="I20" s="16" t="s">
        <v>174</v>
      </c>
    </row>
    <row r="21" spans="1:9" ht="219.75" customHeight="1" x14ac:dyDescent="0.35">
      <c r="A21" s="15" t="s">
        <v>25</v>
      </c>
      <c r="B21" s="15" t="s">
        <v>122</v>
      </c>
      <c r="C21" s="15" t="s">
        <v>92</v>
      </c>
      <c r="D21" s="15" t="s">
        <v>66</v>
      </c>
      <c r="E21" s="16" t="s">
        <v>175</v>
      </c>
      <c r="F21" s="16" t="s">
        <v>176</v>
      </c>
      <c r="G21" s="16" t="s">
        <v>177</v>
      </c>
      <c r="H21" s="16" t="s">
        <v>178</v>
      </c>
      <c r="I21" s="16" t="s">
        <v>179</v>
      </c>
    </row>
    <row r="22" spans="1:9" ht="219.75" customHeight="1" x14ac:dyDescent="0.35">
      <c r="A22" s="15" t="s">
        <v>25</v>
      </c>
      <c r="B22" s="15" t="s">
        <v>128</v>
      </c>
      <c r="C22" s="15" t="s">
        <v>79</v>
      </c>
      <c r="D22" s="15" t="s">
        <v>66</v>
      </c>
      <c r="E22" s="16" t="s">
        <v>180</v>
      </c>
      <c r="F22" s="16" t="s">
        <v>181</v>
      </c>
      <c r="G22" s="16" t="s">
        <v>182</v>
      </c>
      <c r="H22" s="16" t="s">
        <v>183</v>
      </c>
      <c r="I22" s="16" t="s">
        <v>184</v>
      </c>
    </row>
    <row r="23" spans="1:9" ht="219.75" customHeight="1" x14ac:dyDescent="0.35">
      <c r="A23" s="15" t="s">
        <v>25</v>
      </c>
      <c r="B23" s="15" t="s">
        <v>134</v>
      </c>
      <c r="C23" s="15" t="s">
        <v>92</v>
      </c>
      <c r="D23" s="15" t="s">
        <v>67</v>
      </c>
      <c r="E23" s="16" t="s">
        <v>185</v>
      </c>
      <c r="F23" s="16" t="s">
        <v>186</v>
      </c>
      <c r="G23" s="16" t="s">
        <v>187</v>
      </c>
      <c r="H23" s="16" t="s">
        <v>188</v>
      </c>
      <c r="I23" s="16" t="s">
        <v>189</v>
      </c>
    </row>
    <row r="24" spans="1:9" ht="219.75" customHeight="1" x14ac:dyDescent="0.35">
      <c r="A24" s="15" t="s">
        <v>25</v>
      </c>
      <c r="B24" s="15" t="s">
        <v>190</v>
      </c>
      <c r="C24" s="15" t="s">
        <v>92</v>
      </c>
      <c r="D24" s="15" t="s">
        <v>67</v>
      </c>
      <c r="E24" s="16" t="s">
        <v>191</v>
      </c>
      <c r="F24" s="16" t="s">
        <v>192</v>
      </c>
      <c r="G24" s="16" t="s">
        <v>193</v>
      </c>
      <c r="H24" s="16" t="s">
        <v>194</v>
      </c>
      <c r="I24" s="16" t="s">
        <v>195</v>
      </c>
    </row>
    <row r="25" spans="1:9" ht="219.75" customHeight="1" x14ac:dyDescent="0.35">
      <c r="A25" s="12" t="s">
        <v>27</v>
      </c>
      <c r="B25" s="12" t="s">
        <v>78</v>
      </c>
      <c r="C25" s="12" t="s">
        <v>92</v>
      </c>
      <c r="D25" s="12" t="s">
        <v>63</v>
      </c>
      <c r="E25" s="13" t="s">
        <v>196</v>
      </c>
      <c r="F25" s="13" t="s">
        <v>197</v>
      </c>
      <c r="G25" s="13" t="s">
        <v>198</v>
      </c>
      <c r="H25" s="13" t="s">
        <v>199</v>
      </c>
      <c r="I25" s="13" t="s">
        <v>200</v>
      </c>
    </row>
    <row r="26" spans="1:9" ht="219.75" customHeight="1" x14ac:dyDescent="0.35">
      <c r="A26" s="12" t="s">
        <v>27</v>
      </c>
      <c r="B26" s="12" t="s">
        <v>85</v>
      </c>
      <c r="C26" s="12" t="s">
        <v>79</v>
      </c>
      <c r="D26" s="12" t="s">
        <v>65</v>
      </c>
      <c r="E26" s="13" t="s">
        <v>201</v>
      </c>
      <c r="F26" s="13" t="s">
        <v>202</v>
      </c>
      <c r="G26" s="13" t="s">
        <v>203</v>
      </c>
      <c r="H26" s="13" t="s">
        <v>204</v>
      </c>
      <c r="I26" s="13" t="s">
        <v>205</v>
      </c>
    </row>
    <row r="27" spans="1:9" ht="219.75" customHeight="1" x14ac:dyDescent="0.35">
      <c r="A27" s="12" t="s">
        <v>27</v>
      </c>
      <c r="B27" s="12" t="s">
        <v>91</v>
      </c>
      <c r="C27" s="12" t="s">
        <v>92</v>
      </c>
      <c r="D27" s="12" t="s">
        <v>63</v>
      </c>
      <c r="E27" s="13" t="s">
        <v>206</v>
      </c>
      <c r="F27" s="13" t="s">
        <v>207</v>
      </c>
      <c r="G27" s="13" t="s">
        <v>208</v>
      </c>
      <c r="H27" s="13" t="s">
        <v>209</v>
      </c>
      <c r="I27" s="13" t="s">
        <v>210</v>
      </c>
    </row>
    <row r="28" spans="1:9" ht="219.75" customHeight="1" x14ac:dyDescent="0.35">
      <c r="A28" s="12" t="s">
        <v>27</v>
      </c>
      <c r="B28" s="12" t="s">
        <v>98</v>
      </c>
      <c r="C28" s="12" t="s">
        <v>92</v>
      </c>
      <c r="D28" s="12" t="s">
        <v>67</v>
      </c>
      <c r="E28" s="13" t="s">
        <v>211</v>
      </c>
      <c r="F28" s="13" t="s">
        <v>212</v>
      </c>
      <c r="G28" s="13" t="s">
        <v>213</v>
      </c>
      <c r="H28" s="13" t="s">
        <v>214</v>
      </c>
      <c r="I28" s="13" t="s">
        <v>215</v>
      </c>
    </row>
    <row r="29" spans="1:9" ht="219.75" customHeight="1" x14ac:dyDescent="0.35">
      <c r="A29" s="12" t="s">
        <v>27</v>
      </c>
      <c r="B29" s="12" t="s">
        <v>104</v>
      </c>
      <c r="C29" s="12" t="s">
        <v>79</v>
      </c>
      <c r="D29" s="12" t="s">
        <v>65</v>
      </c>
      <c r="E29" s="13" t="s">
        <v>216</v>
      </c>
      <c r="F29" s="13" t="s">
        <v>217</v>
      </c>
      <c r="G29" s="13" t="s">
        <v>218</v>
      </c>
      <c r="H29" s="13" t="s">
        <v>219</v>
      </c>
      <c r="I29" s="13" t="s">
        <v>220</v>
      </c>
    </row>
    <row r="30" spans="1:9" ht="219.75" customHeight="1" x14ac:dyDescent="0.35">
      <c r="A30" s="12" t="s">
        <v>27</v>
      </c>
      <c r="B30" s="12" t="s">
        <v>110</v>
      </c>
      <c r="C30" s="12" t="s">
        <v>79</v>
      </c>
      <c r="D30" s="12" t="s">
        <v>66</v>
      </c>
      <c r="E30" s="13" t="s">
        <v>221</v>
      </c>
      <c r="F30" s="13" t="s">
        <v>222</v>
      </c>
      <c r="G30" s="13" t="s">
        <v>223</v>
      </c>
      <c r="H30" s="13" t="s">
        <v>224</v>
      </c>
      <c r="I30" s="13" t="s">
        <v>225</v>
      </c>
    </row>
    <row r="31" spans="1:9" ht="219.75" customHeight="1" x14ac:dyDescent="0.35">
      <c r="A31" s="15" t="s">
        <v>29</v>
      </c>
      <c r="B31" s="15" t="s">
        <v>78</v>
      </c>
      <c r="C31" s="15" t="s">
        <v>92</v>
      </c>
      <c r="D31" s="15" t="s">
        <v>63</v>
      </c>
      <c r="E31" s="16" t="s">
        <v>226</v>
      </c>
      <c r="F31" s="16" t="s">
        <v>227</v>
      </c>
      <c r="G31" s="16" t="s">
        <v>228</v>
      </c>
      <c r="H31" s="16" t="s">
        <v>229</v>
      </c>
      <c r="I31" s="16" t="s">
        <v>230</v>
      </c>
    </row>
    <row r="32" spans="1:9" ht="219.75" customHeight="1" x14ac:dyDescent="0.35">
      <c r="A32" s="15" t="s">
        <v>29</v>
      </c>
      <c r="B32" s="15" t="s">
        <v>85</v>
      </c>
      <c r="C32" s="15" t="s">
        <v>79</v>
      </c>
      <c r="D32" s="15" t="s">
        <v>63</v>
      </c>
      <c r="E32" s="16" t="s">
        <v>231</v>
      </c>
      <c r="F32" s="16" t="s">
        <v>232</v>
      </c>
      <c r="G32" s="16" t="s">
        <v>233</v>
      </c>
      <c r="H32" s="16" t="s">
        <v>234</v>
      </c>
      <c r="I32" s="16" t="s">
        <v>235</v>
      </c>
    </row>
    <row r="33" spans="1:9" ht="219.75" customHeight="1" x14ac:dyDescent="0.35">
      <c r="A33" s="15" t="s">
        <v>29</v>
      </c>
      <c r="B33" s="15" t="s">
        <v>91</v>
      </c>
      <c r="C33" s="15" t="s">
        <v>92</v>
      </c>
      <c r="D33" s="15" t="s">
        <v>65</v>
      </c>
      <c r="E33" s="16" t="s">
        <v>236</v>
      </c>
      <c r="F33" s="16" t="s">
        <v>237</v>
      </c>
      <c r="G33" s="16" t="s">
        <v>238</v>
      </c>
      <c r="H33" s="16" t="s">
        <v>239</v>
      </c>
      <c r="I33" s="16" t="s">
        <v>240</v>
      </c>
    </row>
    <row r="34" spans="1:9" ht="219.75" customHeight="1" x14ac:dyDescent="0.35">
      <c r="A34" s="15" t="s">
        <v>29</v>
      </c>
      <c r="B34" s="15" t="s">
        <v>98</v>
      </c>
      <c r="C34" s="15" t="s">
        <v>79</v>
      </c>
      <c r="D34" s="15" t="s">
        <v>65</v>
      </c>
      <c r="E34" s="16" t="s">
        <v>241</v>
      </c>
      <c r="F34" s="16" t="s">
        <v>242</v>
      </c>
      <c r="G34" s="16" t="s">
        <v>243</v>
      </c>
      <c r="H34" s="16" t="s">
        <v>244</v>
      </c>
      <c r="I34" s="16" t="s">
        <v>245</v>
      </c>
    </row>
    <row r="35" spans="1:9" ht="219.75" customHeight="1" x14ac:dyDescent="0.35">
      <c r="A35" s="15" t="s">
        <v>29</v>
      </c>
      <c r="B35" s="15" t="s">
        <v>104</v>
      </c>
      <c r="C35" s="15" t="s">
        <v>79</v>
      </c>
      <c r="D35" s="15" t="s">
        <v>66</v>
      </c>
      <c r="E35" s="16" t="s">
        <v>246</v>
      </c>
      <c r="F35" s="16" t="s">
        <v>247</v>
      </c>
      <c r="G35" s="16" t="s">
        <v>248</v>
      </c>
      <c r="H35" s="16" t="s">
        <v>249</v>
      </c>
      <c r="I35" s="16" t="s">
        <v>250</v>
      </c>
    </row>
    <row r="36" spans="1:9" ht="219.75" customHeight="1" x14ac:dyDescent="0.35">
      <c r="A36" s="15" t="s">
        <v>29</v>
      </c>
      <c r="B36" s="15" t="s">
        <v>110</v>
      </c>
      <c r="C36" s="15" t="s">
        <v>92</v>
      </c>
      <c r="D36" s="15" t="s">
        <v>67</v>
      </c>
      <c r="E36" s="16" t="s">
        <v>251</v>
      </c>
      <c r="F36" s="16" t="s">
        <v>252</v>
      </c>
      <c r="G36" s="16" t="s">
        <v>253</v>
      </c>
      <c r="H36" s="16" t="s">
        <v>254</v>
      </c>
      <c r="I36" s="16" t="s">
        <v>255</v>
      </c>
    </row>
    <row r="37" spans="1:9" ht="219.75" customHeight="1" x14ac:dyDescent="0.35">
      <c r="A37" s="12" t="s">
        <v>31</v>
      </c>
      <c r="B37" s="12" t="s">
        <v>78</v>
      </c>
      <c r="C37" s="12" t="s">
        <v>92</v>
      </c>
      <c r="D37" s="12" t="s">
        <v>63</v>
      </c>
      <c r="E37" s="13" t="s">
        <v>256</v>
      </c>
      <c r="F37" s="13" t="s">
        <v>257</v>
      </c>
      <c r="G37" s="13" t="s">
        <v>258</v>
      </c>
      <c r="H37" s="13" t="s">
        <v>259</v>
      </c>
      <c r="I37" s="13" t="s">
        <v>260</v>
      </c>
    </row>
    <row r="38" spans="1:9" ht="219.75" customHeight="1" x14ac:dyDescent="0.35">
      <c r="A38" s="12" t="s">
        <v>31</v>
      </c>
      <c r="B38" s="12" t="s">
        <v>85</v>
      </c>
      <c r="C38" s="12" t="s">
        <v>79</v>
      </c>
      <c r="D38" s="12" t="s">
        <v>63</v>
      </c>
      <c r="E38" s="13" t="s">
        <v>261</v>
      </c>
      <c r="F38" s="13" t="s">
        <v>262</v>
      </c>
      <c r="G38" s="13" t="s">
        <v>263</v>
      </c>
      <c r="H38" s="13" t="s">
        <v>264</v>
      </c>
      <c r="I38" s="13" t="s">
        <v>265</v>
      </c>
    </row>
    <row r="39" spans="1:9" ht="219.75" customHeight="1" x14ac:dyDescent="0.35">
      <c r="A39" s="12" t="s">
        <v>31</v>
      </c>
      <c r="B39" s="12" t="s">
        <v>91</v>
      </c>
      <c r="C39" s="12" t="s">
        <v>92</v>
      </c>
      <c r="D39" s="12" t="s">
        <v>65</v>
      </c>
      <c r="E39" s="13" t="s">
        <v>266</v>
      </c>
      <c r="F39" s="13" t="s">
        <v>267</v>
      </c>
      <c r="G39" s="13" t="s">
        <v>268</v>
      </c>
      <c r="H39" s="13" t="s">
        <v>269</v>
      </c>
      <c r="I39" s="13" t="s">
        <v>270</v>
      </c>
    </row>
    <row r="40" spans="1:9" ht="219.75" customHeight="1" x14ac:dyDescent="0.35">
      <c r="A40" s="12" t="s">
        <v>31</v>
      </c>
      <c r="B40" s="12" t="s">
        <v>98</v>
      </c>
      <c r="C40" s="12" t="s">
        <v>79</v>
      </c>
      <c r="D40" s="12" t="s">
        <v>65</v>
      </c>
      <c r="E40" s="13" t="s">
        <v>271</v>
      </c>
      <c r="F40" s="13" t="s">
        <v>272</v>
      </c>
      <c r="G40" s="13" t="s">
        <v>273</v>
      </c>
      <c r="H40" s="13" t="s">
        <v>274</v>
      </c>
      <c r="I40" s="13" t="s">
        <v>275</v>
      </c>
    </row>
    <row r="41" spans="1:9" ht="219.75" customHeight="1" x14ac:dyDescent="0.35">
      <c r="A41" s="12" t="s">
        <v>31</v>
      </c>
      <c r="B41" s="12" t="s">
        <v>104</v>
      </c>
      <c r="C41" s="12" t="s">
        <v>79</v>
      </c>
      <c r="D41" s="12" t="s">
        <v>66</v>
      </c>
      <c r="E41" s="13" t="s">
        <v>276</v>
      </c>
      <c r="F41" s="13" t="s">
        <v>277</v>
      </c>
      <c r="G41" s="13" t="s">
        <v>278</v>
      </c>
      <c r="H41" s="13" t="s">
        <v>279</v>
      </c>
      <c r="I41" s="13" t="s">
        <v>280</v>
      </c>
    </row>
    <row r="42" spans="1:9" ht="219.75" customHeight="1" x14ac:dyDescent="0.35">
      <c r="A42" s="12" t="s">
        <v>31</v>
      </c>
      <c r="B42" s="12" t="s">
        <v>110</v>
      </c>
      <c r="C42" s="12" t="s">
        <v>79</v>
      </c>
      <c r="D42" s="12" t="s">
        <v>66</v>
      </c>
      <c r="E42" s="13" t="s">
        <v>281</v>
      </c>
      <c r="F42" s="13" t="s">
        <v>282</v>
      </c>
      <c r="G42" s="13" t="s">
        <v>283</v>
      </c>
      <c r="H42" s="13" t="s">
        <v>284</v>
      </c>
      <c r="I42" s="13" t="s">
        <v>285</v>
      </c>
    </row>
    <row r="43" spans="1:9" ht="219.75" customHeight="1" x14ac:dyDescent="0.35">
      <c r="A43" s="12" t="s">
        <v>31</v>
      </c>
      <c r="B43" s="12" t="s">
        <v>116</v>
      </c>
      <c r="C43" s="12" t="s">
        <v>92</v>
      </c>
      <c r="D43" s="12" t="s">
        <v>67</v>
      </c>
      <c r="E43" s="13" t="s">
        <v>286</v>
      </c>
      <c r="F43" s="13" t="s">
        <v>287</v>
      </c>
      <c r="G43" s="13" t="s">
        <v>288</v>
      </c>
      <c r="H43" s="13" t="s">
        <v>289</v>
      </c>
      <c r="I43" s="13" t="s">
        <v>255</v>
      </c>
    </row>
    <row r="44" spans="1:9" ht="219.75" customHeight="1" x14ac:dyDescent="0.35">
      <c r="A44" s="15" t="s">
        <v>33</v>
      </c>
      <c r="B44" s="15" t="s">
        <v>78</v>
      </c>
      <c r="C44" s="15" t="s">
        <v>92</v>
      </c>
      <c r="D44" s="15" t="s">
        <v>63</v>
      </c>
      <c r="E44" s="16" t="s">
        <v>290</v>
      </c>
      <c r="F44" s="16" t="s">
        <v>291</v>
      </c>
      <c r="G44" s="16" t="s">
        <v>292</v>
      </c>
      <c r="H44" s="16" t="s">
        <v>293</v>
      </c>
      <c r="I44" s="16" t="s">
        <v>294</v>
      </c>
    </row>
    <row r="45" spans="1:9" ht="219.75" customHeight="1" x14ac:dyDescent="0.35">
      <c r="A45" s="15" t="s">
        <v>33</v>
      </c>
      <c r="B45" s="15" t="s">
        <v>85</v>
      </c>
      <c r="C45" s="15" t="s">
        <v>79</v>
      </c>
      <c r="D45" s="15" t="s">
        <v>63</v>
      </c>
      <c r="E45" s="16" t="s">
        <v>295</v>
      </c>
      <c r="F45" s="16" t="s">
        <v>296</v>
      </c>
      <c r="G45" s="16" t="s">
        <v>297</v>
      </c>
      <c r="H45" s="16" t="s">
        <v>298</v>
      </c>
      <c r="I45" s="16" t="s">
        <v>299</v>
      </c>
    </row>
    <row r="46" spans="1:9" ht="219.75" customHeight="1" x14ac:dyDescent="0.35">
      <c r="A46" s="15" t="s">
        <v>33</v>
      </c>
      <c r="B46" s="15" t="s">
        <v>91</v>
      </c>
      <c r="C46" s="15" t="s">
        <v>79</v>
      </c>
      <c r="D46" s="15" t="s">
        <v>65</v>
      </c>
      <c r="E46" s="16" t="s">
        <v>300</v>
      </c>
      <c r="F46" s="16" t="s">
        <v>301</v>
      </c>
      <c r="G46" s="16" t="s">
        <v>302</v>
      </c>
      <c r="H46" s="16" t="s">
        <v>303</v>
      </c>
      <c r="I46" s="16" t="s">
        <v>304</v>
      </c>
    </row>
    <row r="47" spans="1:9" ht="219.75" customHeight="1" x14ac:dyDescent="0.35">
      <c r="A47" s="15" t="s">
        <v>33</v>
      </c>
      <c r="B47" s="15" t="s">
        <v>98</v>
      </c>
      <c r="C47" s="15" t="s">
        <v>92</v>
      </c>
      <c r="D47" s="15" t="s">
        <v>65</v>
      </c>
      <c r="E47" s="16" t="s">
        <v>305</v>
      </c>
      <c r="F47" s="16" t="s">
        <v>306</v>
      </c>
      <c r="G47" s="16" t="s">
        <v>307</v>
      </c>
      <c r="H47" s="16" t="s">
        <v>308</v>
      </c>
      <c r="I47" s="16" t="s">
        <v>309</v>
      </c>
    </row>
    <row r="48" spans="1:9" ht="219.75" customHeight="1" x14ac:dyDescent="0.35">
      <c r="A48" s="15" t="s">
        <v>33</v>
      </c>
      <c r="B48" s="15" t="s">
        <v>104</v>
      </c>
      <c r="C48" s="15" t="s">
        <v>79</v>
      </c>
      <c r="D48" s="15" t="s">
        <v>66</v>
      </c>
      <c r="E48" s="16" t="s">
        <v>310</v>
      </c>
      <c r="F48" s="16" t="s">
        <v>311</v>
      </c>
      <c r="G48" s="16" t="s">
        <v>312</v>
      </c>
      <c r="H48" s="16" t="s">
        <v>313</v>
      </c>
      <c r="I48" s="16" t="s">
        <v>314</v>
      </c>
    </row>
    <row r="49" spans="1:9" ht="219.75" customHeight="1" x14ac:dyDescent="0.35">
      <c r="A49" s="15" t="s">
        <v>33</v>
      </c>
      <c r="B49" s="15" t="s">
        <v>110</v>
      </c>
      <c r="C49" s="15" t="s">
        <v>92</v>
      </c>
      <c r="D49" s="15" t="s">
        <v>67</v>
      </c>
      <c r="E49" s="16" t="s">
        <v>315</v>
      </c>
      <c r="F49" s="16" t="s">
        <v>316</v>
      </c>
      <c r="G49" s="16" t="s">
        <v>317</v>
      </c>
      <c r="H49" s="16" t="s">
        <v>318</v>
      </c>
      <c r="I49" s="16" t="s">
        <v>319</v>
      </c>
    </row>
    <row r="50" spans="1:9" ht="219.75" customHeight="1" x14ac:dyDescent="0.35">
      <c r="A50" s="12" t="s">
        <v>35</v>
      </c>
      <c r="B50" s="12" t="s">
        <v>78</v>
      </c>
      <c r="C50" s="12" t="s">
        <v>92</v>
      </c>
      <c r="D50" s="12" t="s">
        <v>63</v>
      </c>
      <c r="E50" s="13" t="s">
        <v>320</v>
      </c>
      <c r="F50" s="13" t="s">
        <v>321</v>
      </c>
      <c r="G50" s="13" t="s">
        <v>322</v>
      </c>
      <c r="H50" s="13" t="s">
        <v>323</v>
      </c>
      <c r="I50" s="13" t="s">
        <v>324</v>
      </c>
    </row>
    <row r="51" spans="1:9" ht="219.75" customHeight="1" x14ac:dyDescent="0.35">
      <c r="A51" s="12" t="s">
        <v>35</v>
      </c>
      <c r="B51" s="12" t="s">
        <v>85</v>
      </c>
      <c r="C51" s="12" t="s">
        <v>79</v>
      </c>
      <c r="D51" s="12" t="s">
        <v>63</v>
      </c>
      <c r="E51" s="13" t="s">
        <v>325</v>
      </c>
      <c r="F51" s="13" t="s">
        <v>326</v>
      </c>
      <c r="G51" s="13" t="s">
        <v>327</v>
      </c>
      <c r="H51" s="13" t="s">
        <v>328</v>
      </c>
      <c r="I51" s="13" t="s">
        <v>329</v>
      </c>
    </row>
    <row r="52" spans="1:9" ht="219.75" customHeight="1" x14ac:dyDescent="0.35">
      <c r="A52" s="12" t="s">
        <v>35</v>
      </c>
      <c r="B52" s="12" t="s">
        <v>91</v>
      </c>
      <c r="C52" s="12" t="s">
        <v>92</v>
      </c>
      <c r="D52" s="12" t="s">
        <v>65</v>
      </c>
      <c r="E52" s="13" t="s">
        <v>330</v>
      </c>
      <c r="F52" s="13" t="s">
        <v>331</v>
      </c>
      <c r="G52" s="13" t="s">
        <v>332</v>
      </c>
      <c r="H52" s="13" t="s">
        <v>333</v>
      </c>
      <c r="I52" s="13" t="s">
        <v>334</v>
      </c>
    </row>
    <row r="53" spans="1:9" ht="219.75" customHeight="1" x14ac:dyDescent="0.35">
      <c r="A53" s="12" t="s">
        <v>35</v>
      </c>
      <c r="B53" s="12" t="s">
        <v>98</v>
      </c>
      <c r="C53" s="12" t="s">
        <v>79</v>
      </c>
      <c r="D53" s="12" t="s">
        <v>65</v>
      </c>
      <c r="E53" s="13" t="s">
        <v>335</v>
      </c>
      <c r="F53" s="13" t="s">
        <v>336</v>
      </c>
      <c r="G53" s="13" t="s">
        <v>337</v>
      </c>
      <c r="H53" s="13" t="s">
        <v>338</v>
      </c>
      <c r="I53" s="13" t="s">
        <v>339</v>
      </c>
    </row>
    <row r="54" spans="1:9" ht="219.75" customHeight="1" x14ac:dyDescent="0.35">
      <c r="A54" s="12" t="s">
        <v>35</v>
      </c>
      <c r="B54" s="12" t="s">
        <v>104</v>
      </c>
      <c r="C54" s="12" t="s">
        <v>79</v>
      </c>
      <c r="D54" s="12" t="s">
        <v>66</v>
      </c>
      <c r="E54" s="13" t="s">
        <v>340</v>
      </c>
      <c r="F54" s="13" t="s">
        <v>341</v>
      </c>
      <c r="G54" s="13" t="s">
        <v>342</v>
      </c>
      <c r="H54" s="13" t="s">
        <v>343</v>
      </c>
      <c r="I54" s="13" t="s">
        <v>344</v>
      </c>
    </row>
    <row r="55" spans="1:9" ht="219.75" customHeight="1" x14ac:dyDescent="0.35">
      <c r="A55" s="12" t="s">
        <v>35</v>
      </c>
      <c r="B55" s="12" t="s">
        <v>110</v>
      </c>
      <c r="C55" s="12" t="s">
        <v>92</v>
      </c>
      <c r="D55" s="12" t="s">
        <v>67</v>
      </c>
      <c r="E55" s="13" t="s">
        <v>345</v>
      </c>
      <c r="F55" s="13" t="s">
        <v>346</v>
      </c>
      <c r="G55" s="13" t="s">
        <v>347</v>
      </c>
      <c r="H55" s="13" t="s">
        <v>348</v>
      </c>
      <c r="I55" s="13" t="s">
        <v>349</v>
      </c>
    </row>
    <row r="56" spans="1:9" ht="219.75" customHeight="1" x14ac:dyDescent="0.35">
      <c r="A56" s="15" t="s">
        <v>37</v>
      </c>
      <c r="B56" s="15" t="s">
        <v>78</v>
      </c>
      <c r="C56" s="15" t="s">
        <v>79</v>
      </c>
      <c r="D56" s="15" t="s">
        <v>63</v>
      </c>
      <c r="E56" s="16" t="s">
        <v>350</v>
      </c>
      <c r="F56" s="16" t="s">
        <v>351</v>
      </c>
      <c r="G56" s="16" t="s">
        <v>352</v>
      </c>
      <c r="H56" s="16" t="s">
        <v>353</v>
      </c>
      <c r="I56" s="16" t="s">
        <v>354</v>
      </c>
    </row>
    <row r="57" spans="1:9" ht="219.75" customHeight="1" x14ac:dyDescent="0.35">
      <c r="A57" s="15" t="s">
        <v>37</v>
      </c>
      <c r="B57" s="15" t="s">
        <v>85</v>
      </c>
      <c r="C57" s="15" t="s">
        <v>79</v>
      </c>
      <c r="D57" s="15" t="s">
        <v>65</v>
      </c>
      <c r="E57" s="16" t="s">
        <v>355</v>
      </c>
      <c r="F57" s="16" t="s">
        <v>356</v>
      </c>
      <c r="G57" s="16" t="s">
        <v>357</v>
      </c>
      <c r="H57" s="16" t="s">
        <v>358</v>
      </c>
      <c r="I57" s="16" t="s">
        <v>359</v>
      </c>
    </row>
    <row r="58" spans="1:9" ht="219.75" customHeight="1" x14ac:dyDescent="0.35">
      <c r="A58" s="15" t="s">
        <v>37</v>
      </c>
      <c r="B58" s="15" t="s">
        <v>91</v>
      </c>
      <c r="C58" s="15" t="s">
        <v>92</v>
      </c>
      <c r="D58" s="15" t="s">
        <v>63</v>
      </c>
      <c r="E58" s="16" t="s">
        <v>360</v>
      </c>
      <c r="F58" s="16" t="s">
        <v>361</v>
      </c>
      <c r="G58" s="16" t="s">
        <v>362</v>
      </c>
      <c r="H58" s="16" t="s">
        <v>363</v>
      </c>
      <c r="I58" s="16" t="s">
        <v>364</v>
      </c>
    </row>
    <row r="59" spans="1:9" ht="219.75" customHeight="1" x14ac:dyDescent="0.35">
      <c r="A59" s="15" t="s">
        <v>37</v>
      </c>
      <c r="B59" s="15" t="s">
        <v>98</v>
      </c>
      <c r="C59" s="15" t="s">
        <v>79</v>
      </c>
      <c r="D59" s="15" t="s">
        <v>66</v>
      </c>
      <c r="E59" s="16" t="s">
        <v>365</v>
      </c>
      <c r="F59" s="16" t="s">
        <v>366</v>
      </c>
      <c r="G59" s="16" t="s">
        <v>367</v>
      </c>
      <c r="H59" s="16" t="s">
        <v>368</v>
      </c>
      <c r="I59" s="16" t="s">
        <v>369</v>
      </c>
    </row>
    <row r="60" spans="1:9" ht="219.75" customHeight="1" x14ac:dyDescent="0.35">
      <c r="A60" s="15" t="s">
        <v>37</v>
      </c>
      <c r="B60" s="15" t="s">
        <v>104</v>
      </c>
      <c r="C60" s="15" t="s">
        <v>92</v>
      </c>
      <c r="D60" s="15" t="s">
        <v>67</v>
      </c>
      <c r="E60" s="16" t="s">
        <v>370</v>
      </c>
      <c r="F60" s="16" t="s">
        <v>371</v>
      </c>
      <c r="G60" s="16" t="s">
        <v>372</v>
      </c>
      <c r="H60" s="16" t="s">
        <v>373</v>
      </c>
      <c r="I60" s="16" t="s">
        <v>374</v>
      </c>
    </row>
    <row r="61" spans="1:9" ht="219.75" customHeight="1" x14ac:dyDescent="0.35">
      <c r="A61" s="15" t="s">
        <v>37</v>
      </c>
      <c r="B61" s="15" t="s">
        <v>110</v>
      </c>
      <c r="C61" s="15" t="s">
        <v>79</v>
      </c>
      <c r="D61" s="15" t="s">
        <v>65</v>
      </c>
      <c r="E61" s="16" t="s">
        <v>375</v>
      </c>
      <c r="F61" s="16" t="s">
        <v>376</v>
      </c>
      <c r="G61" s="16" t="s">
        <v>377</v>
      </c>
      <c r="H61" s="16" t="s">
        <v>378</v>
      </c>
      <c r="I61" s="16" t="s">
        <v>379</v>
      </c>
    </row>
    <row r="62" spans="1:9" ht="219.75" customHeight="1" x14ac:dyDescent="0.35">
      <c r="A62" s="12" t="s">
        <v>39</v>
      </c>
      <c r="B62" s="12" t="s">
        <v>78</v>
      </c>
      <c r="C62" s="12" t="s">
        <v>92</v>
      </c>
      <c r="D62" s="12" t="s">
        <v>63</v>
      </c>
      <c r="E62" s="13" t="s">
        <v>380</v>
      </c>
      <c r="F62" s="13" t="s">
        <v>381</v>
      </c>
      <c r="G62" s="13" t="s">
        <v>382</v>
      </c>
      <c r="H62" s="13" t="s">
        <v>383</v>
      </c>
      <c r="I62" s="13" t="s">
        <v>384</v>
      </c>
    </row>
    <row r="63" spans="1:9" ht="219.75" customHeight="1" x14ac:dyDescent="0.35">
      <c r="A63" s="12" t="s">
        <v>39</v>
      </c>
      <c r="B63" s="12" t="s">
        <v>85</v>
      </c>
      <c r="C63" s="12" t="s">
        <v>79</v>
      </c>
      <c r="D63" s="12" t="s">
        <v>63</v>
      </c>
      <c r="E63" s="13" t="s">
        <v>385</v>
      </c>
      <c r="F63" s="13" t="s">
        <v>386</v>
      </c>
      <c r="G63" s="13" t="s">
        <v>387</v>
      </c>
      <c r="H63" s="13" t="s">
        <v>388</v>
      </c>
      <c r="I63" s="13" t="s">
        <v>389</v>
      </c>
    </row>
    <row r="64" spans="1:9" ht="219.75" customHeight="1" x14ac:dyDescent="0.35">
      <c r="A64" s="12" t="s">
        <v>39</v>
      </c>
      <c r="B64" s="12" t="s">
        <v>91</v>
      </c>
      <c r="C64" s="12" t="s">
        <v>92</v>
      </c>
      <c r="D64" s="12" t="s">
        <v>65</v>
      </c>
      <c r="E64" s="13" t="s">
        <v>390</v>
      </c>
      <c r="F64" s="13" t="s">
        <v>391</v>
      </c>
      <c r="G64" s="13" t="s">
        <v>392</v>
      </c>
      <c r="H64" s="13" t="s">
        <v>393</v>
      </c>
      <c r="I64" s="13" t="s">
        <v>394</v>
      </c>
    </row>
    <row r="65" spans="1:9" ht="219.75" customHeight="1" x14ac:dyDescent="0.35">
      <c r="A65" s="12" t="s">
        <v>39</v>
      </c>
      <c r="B65" s="12" t="s">
        <v>98</v>
      </c>
      <c r="C65" s="12" t="s">
        <v>79</v>
      </c>
      <c r="D65" s="12" t="s">
        <v>65</v>
      </c>
      <c r="E65" s="13" t="s">
        <v>395</v>
      </c>
      <c r="F65" s="13" t="s">
        <v>396</v>
      </c>
      <c r="G65" s="13" t="s">
        <v>397</v>
      </c>
      <c r="H65" s="13" t="s">
        <v>398</v>
      </c>
      <c r="I65" s="13" t="s">
        <v>399</v>
      </c>
    </row>
    <row r="66" spans="1:9" ht="219.75" customHeight="1" x14ac:dyDescent="0.35">
      <c r="A66" s="12" t="s">
        <v>39</v>
      </c>
      <c r="B66" s="12" t="s">
        <v>104</v>
      </c>
      <c r="C66" s="12" t="s">
        <v>79</v>
      </c>
      <c r="D66" s="12" t="s">
        <v>66</v>
      </c>
      <c r="E66" s="13" t="s">
        <v>400</v>
      </c>
      <c r="F66" s="13" t="s">
        <v>401</v>
      </c>
      <c r="G66" s="13" t="s">
        <v>402</v>
      </c>
      <c r="H66" s="13" t="s">
        <v>403</v>
      </c>
      <c r="I66" s="13" t="s">
        <v>404</v>
      </c>
    </row>
    <row r="67" spans="1:9" ht="219.75" customHeight="1" x14ac:dyDescent="0.35">
      <c r="A67" s="12" t="s">
        <v>39</v>
      </c>
      <c r="B67" s="12" t="s">
        <v>110</v>
      </c>
      <c r="C67" s="12" t="s">
        <v>79</v>
      </c>
      <c r="D67" s="12" t="s">
        <v>66</v>
      </c>
      <c r="E67" s="13" t="s">
        <v>405</v>
      </c>
      <c r="F67" s="13" t="s">
        <v>406</v>
      </c>
      <c r="G67" s="13" t="s">
        <v>407</v>
      </c>
      <c r="H67" s="13" t="s">
        <v>408</v>
      </c>
      <c r="I67" s="13" t="s">
        <v>409</v>
      </c>
    </row>
    <row r="68" spans="1:9" ht="219.75" customHeight="1" x14ac:dyDescent="0.35">
      <c r="A68" s="12" t="s">
        <v>39</v>
      </c>
      <c r="B68" s="12" t="s">
        <v>116</v>
      </c>
      <c r="C68" s="12" t="s">
        <v>92</v>
      </c>
      <c r="D68" s="12" t="s">
        <v>67</v>
      </c>
      <c r="E68" s="13" t="s">
        <v>410</v>
      </c>
      <c r="F68" s="13" t="s">
        <v>411</v>
      </c>
      <c r="G68" s="13" t="s">
        <v>412</v>
      </c>
      <c r="H68" s="13" t="s">
        <v>413</v>
      </c>
      <c r="I68" s="13" t="s">
        <v>414</v>
      </c>
    </row>
    <row r="69" spans="1:9" ht="219.75" customHeight="1" x14ac:dyDescent="0.35">
      <c r="A69" s="15" t="s">
        <v>41</v>
      </c>
      <c r="B69" s="15" t="s">
        <v>78</v>
      </c>
      <c r="C69" s="15" t="s">
        <v>92</v>
      </c>
      <c r="D69" s="15" t="s">
        <v>63</v>
      </c>
      <c r="E69" s="16" t="s">
        <v>415</v>
      </c>
      <c r="F69" s="16" t="s">
        <v>416</v>
      </c>
      <c r="G69" s="16" t="s">
        <v>417</v>
      </c>
      <c r="H69" s="16" t="s">
        <v>418</v>
      </c>
      <c r="I69" s="16" t="s">
        <v>419</v>
      </c>
    </row>
    <row r="70" spans="1:9" ht="219.75" customHeight="1" x14ac:dyDescent="0.35">
      <c r="A70" s="15" t="s">
        <v>41</v>
      </c>
      <c r="B70" s="15" t="s">
        <v>85</v>
      </c>
      <c r="C70" s="15" t="s">
        <v>79</v>
      </c>
      <c r="D70" s="15" t="s">
        <v>67</v>
      </c>
      <c r="E70" s="16" t="s">
        <v>420</v>
      </c>
      <c r="F70" s="16" t="s">
        <v>421</v>
      </c>
      <c r="G70" s="16" t="s">
        <v>422</v>
      </c>
      <c r="H70" s="16" t="s">
        <v>423</v>
      </c>
      <c r="I70" s="16" t="s">
        <v>424</v>
      </c>
    </row>
    <row r="71" spans="1:9" ht="219.75" customHeight="1" x14ac:dyDescent="0.35">
      <c r="A71" s="15" t="s">
        <v>41</v>
      </c>
      <c r="B71" s="15" t="s">
        <v>91</v>
      </c>
      <c r="C71" s="15" t="s">
        <v>79</v>
      </c>
      <c r="D71" s="15" t="s">
        <v>65</v>
      </c>
      <c r="E71" s="16" t="s">
        <v>425</v>
      </c>
      <c r="F71" s="16" t="s">
        <v>426</v>
      </c>
      <c r="G71" s="16" t="s">
        <v>427</v>
      </c>
      <c r="H71" s="16" t="s">
        <v>428</v>
      </c>
      <c r="I71" s="16" t="s">
        <v>429</v>
      </c>
    </row>
    <row r="72" spans="1:9" ht="219.75" customHeight="1" x14ac:dyDescent="0.35">
      <c r="A72" s="15" t="s">
        <v>41</v>
      </c>
      <c r="B72" s="15" t="s">
        <v>98</v>
      </c>
      <c r="C72" s="15" t="s">
        <v>92</v>
      </c>
      <c r="D72" s="15" t="s">
        <v>63</v>
      </c>
      <c r="E72" s="16" t="s">
        <v>430</v>
      </c>
      <c r="F72" s="16" t="s">
        <v>431</v>
      </c>
      <c r="G72" s="16" t="s">
        <v>432</v>
      </c>
      <c r="H72" s="16" t="s">
        <v>433</v>
      </c>
      <c r="I72" s="16" t="s">
        <v>434</v>
      </c>
    </row>
    <row r="73" spans="1:9" ht="219.75" customHeight="1" x14ac:dyDescent="0.35">
      <c r="A73" s="15" t="s">
        <v>41</v>
      </c>
      <c r="B73" s="15" t="s">
        <v>104</v>
      </c>
      <c r="C73" s="15" t="s">
        <v>79</v>
      </c>
      <c r="D73" s="15" t="s">
        <v>66</v>
      </c>
      <c r="E73" s="16" t="s">
        <v>435</v>
      </c>
      <c r="F73" s="16" t="s">
        <v>436</v>
      </c>
      <c r="G73" s="16" t="s">
        <v>437</v>
      </c>
      <c r="H73" s="16" t="s">
        <v>438</v>
      </c>
      <c r="I73" s="16" t="s">
        <v>439</v>
      </c>
    </row>
    <row r="74" spans="1:9" ht="219.75" customHeight="1" x14ac:dyDescent="0.35">
      <c r="A74" s="15" t="s">
        <v>41</v>
      </c>
      <c r="B74" s="15" t="s">
        <v>110</v>
      </c>
      <c r="C74" s="15" t="s">
        <v>79</v>
      </c>
      <c r="D74" s="15" t="s">
        <v>65</v>
      </c>
      <c r="E74" s="16" t="s">
        <v>440</v>
      </c>
      <c r="F74" s="16" t="s">
        <v>441</v>
      </c>
      <c r="G74" s="16" t="s">
        <v>442</v>
      </c>
      <c r="H74" s="16" t="s">
        <v>443</v>
      </c>
      <c r="I74" s="16" t="s">
        <v>444</v>
      </c>
    </row>
    <row r="75" spans="1:9" ht="219.75" customHeight="1" x14ac:dyDescent="0.35">
      <c r="A75" s="15" t="s">
        <v>41</v>
      </c>
      <c r="B75" s="15" t="s">
        <v>116</v>
      </c>
      <c r="C75" s="15" t="s">
        <v>92</v>
      </c>
      <c r="D75" s="15" t="s">
        <v>67</v>
      </c>
      <c r="E75" s="16" t="s">
        <v>445</v>
      </c>
      <c r="F75" s="16" t="s">
        <v>446</v>
      </c>
      <c r="G75" s="16" t="s">
        <v>447</v>
      </c>
      <c r="H75" s="16" t="s">
        <v>448</v>
      </c>
      <c r="I75" s="16" t="s">
        <v>449</v>
      </c>
    </row>
    <row r="76" spans="1:9" ht="219.75" customHeight="1" x14ac:dyDescent="0.35">
      <c r="A76" s="15" t="s">
        <v>41</v>
      </c>
      <c r="B76" s="15" t="s">
        <v>122</v>
      </c>
      <c r="C76" s="15" t="s">
        <v>79</v>
      </c>
      <c r="D76" s="15" t="s">
        <v>65</v>
      </c>
      <c r="E76" s="16" t="s">
        <v>450</v>
      </c>
      <c r="F76" s="16" t="s">
        <v>451</v>
      </c>
      <c r="G76" s="16" t="s">
        <v>452</v>
      </c>
      <c r="H76" s="16" t="s">
        <v>453</v>
      </c>
      <c r="I76" s="16" t="s">
        <v>454</v>
      </c>
    </row>
    <row r="77" spans="1:9" ht="219.75" customHeight="1" x14ac:dyDescent="0.35">
      <c r="A77" s="15" t="s">
        <v>41</v>
      </c>
      <c r="B77" s="15" t="s">
        <v>128</v>
      </c>
      <c r="C77" s="15" t="s">
        <v>92</v>
      </c>
      <c r="D77" s="15" t="s">
        <v>66</v>
      </c>
      <c r="E77" s="16" t="s">
        <v>455</v>
      </c>
      <c r="F77" s="16" t="s">
        <v>456</v>
      </c>
      <c r="G77" s="16" t="s">
        <v>457</v>
      </c>
      <c r="H77" s="16" t="s">
        <v>458</v>
      </c>
      <c r="I77" s="16" t="s">
        <v>459</v>
      </c>
    </row>
    <row r="78" spans="1:9" ht="219.75" customHeight="1" x14ac:dyDescent="0.35">
      <c r="A78" s="12" t="s">
        <v>43</v>
      </c>
      <c r="B78" s="12" t="s">
        <v>78</v>
      </c>
      <c r="C78" s="12" t="s">
        <v>79</v>
      </c>
      <c r="D78" s="12" t="s">
        <v>63</v>
      </c>
      <c r="E78" s="13" t="s">
        <v>460</v>
      </c>
      <c r="F78" s="13" t="s">
        <v>461</v>
      </c>
      <c r="G78" s="13" t="s">
        <v>462</v>
      </c>
      <c r="H78" s="13" t="s">
        <v>463</v>
      </c>
      <c r="I78" s="13" t="s">
        <v>464</v>
      </c>
    </row>
    <row r="79" spans="1:9" ht="219.75" customHeight="1" x14ac:dyDescent="0.35">
      <c r="A79" s="12" t="s">
        <v>43</v>
      </c>
      <c r="B79" s="12" t="s">
        <v>85</v>
      </c>
      <c r="C79" s="12" t="s">
        <v>79</v>
      </c>
      <c r="D79" s="12" t="s">
        <v>65</v>
      </c>
      <c r="E79" s="13" t="s">
        <v>465</v>
      </c>
      <c r="F79" s="13" t="s">
        <v>466</v>
      </c>
      <c r="G79" s="13" t="s">
        <v>467</v>
      </c>
      <c r="H79" s="13" t="s">
        <v>468</v>
      </c>
      <c r="I79" s="13" t="s">
        <v>469</v>
      </c>
    </row>
    <row r="80" spans="1:9" ht="219.75" customHeight="1" x14ac:dyDescent="0.35">
      <c r="A80" s="12" t="s">
        <v>43</v>
      </c>
      <c r="B80" s="12" t="s">
        <v>91</v>
      </c>
      <c r="C80" s="12" t="s">
        <v>92</v>
      </c>
      <c r="D80" s="12" t="s">
        <v>67</v>
      </c>
      <c r="E80" s="13" t="s">
        <v>470</v>
      </c>
      <c r="F80" s="13" t="s">
        <v>471</v>
      </c>
      <c r="G80" s="13" t="s">
        <v>472</v>
      </c>
      <c r="H80" s="13" t="s">
        <v>473</v>
      </c>
      <c r="I80" s="13" t="s">
        <v>474</v>
      </c>
    </row>
    <row r="81" spans="1:9" ht="219.75" customHeight="1" x14ac:dyDescent="0.35">
      <c r="A81" s="12" t="s">
        <v>43</v>
      </c>
      <c r="B81" s="12" t="s">
        <v>98</v>
      </c>
      <c r="C81" s="12" t="s">
        <v>92</v>
      </c>
      <c r="D81" s="12" t="s">
        <v>66</v>
      </c>
      <c r="E81" s="13" t="s">
        <v>475</v>
      </c>
      <c r="F81" s="13" t="s">
        <v>476</v>
      </c>
      <c r="G81" s="13" t="s">
        <v>477</v>
      </c>
      <c r="H81" s="13" t="s">
        <v>478</v>
      </c>
      <c r="I81" s="13" t="s">
        <v>479</v>
      </c>
    </row>
    <row r="82" spans="1:9" ht="219.75" customHeight="1" x14ac:dyDescent="0.35">
      <c r="A82" s="12" t="s">
        <v>43</v>
      </c>
      <c r="B82" s="12" t="s">
        <v>104</v>
      </c>
      <c r="C82" s="12" t="s">
        <v>92</v>
      </c>
      <c r="D82" s="12" t="s">
        <v>67</v>
      </c>
      <c r="E82" s="13" t="s">
        <v>480</v>
      </c>
      <c r="F82" s="13" t="s">
        <v>481</v>
      </c>
      <c r="G82" s="13" t="s">
        <v>482</v>
      </c>
      <c r="H82" s="13" t="s">
        <v>483</v>
      </c>
      <c r="I82" s="13" t="s">
        <v>484</v>
      </c>
    </row>
    <row r="83" spans="1:9" ht="219.75" customHeight="1" x14ac:dyDescent="0.35">
      <c r="A83" s="12" t="s">
        <v>43</v>
      </c>
      <c r="B83" s="12" t="s">
        <v>110</v>
      </c>
      <c r="C83" s="12" t="s">
        <v>79</v>
      </c>
      <c r="D83" s="12" t="s">
        <v>65</v>
      </c>
      <c r="E83" s="13" t="s">
        <v>485</v>
      </c>
      <c r="F83" s="13" t="s">
        <v>486</v>
      </c>
      <c r="G83" s="13" t="s">
        <v>487</v>
      </c>
      <c r="H83" s="13" t="s">
        <v>488</v>
      </c>
      <c r="I83" s="13" t="s">
        <v>489</v>
      </c>
    </row>
    <row r="84" spans="1:9" ht="219.75" customHeight="1" x14ac:dyDescent="0.35">
      <c r="A84" s="12" t="s">
        <v>43</v>
      </c>
      <c r="B84" s="12" t="s">
        <v>116</v>
      </c>
      <c r="C84" s="12" t="s">
        <v>79</v>
      </c>
      <c r="D84" s="12" t="s">
        <v>63</v>
      </c>
      <c r="E84" s="13" t="s">
        <v>490</v>
      </c>
      <c r="F84" s="13" t="s">
        <v>491</v>
      </c>
      <c r="G84" s="13" t="s">
        <v>492</v>
      </c>
      <c r="H84" s="13" t="s">
        <v>493</v>
      </c>
      <c r="I84" s="13" t="s">
        <v>494</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6"/>
  <sheetViews>
    <sheetView topLeftCell="A42" zoomScaleNormal="100" workbookViewId="0">
      <selection sqref="A1:G1"/>
    </sheetView>
  </sheetViews>
  <sheetFormatPr defaultColWidth="8.6328125" defaultRowHeight="14.5" x14ac:dyDescent="0.35"/>
  <cols>
    <col min="1" max="1" width="8" customWidth="1"/>
    <col min="2" max="2" width="10" customWidth="1"/>
    <col min="3" max="3" width="20" customWidth="1"/>
    <col min="4" max="5" width="40" customWidth="1"/>
    <col min="6" max="6" width="36" customWidth="1"/>
    <col min="7" max="7" width="34" customWidth="1"/>
  </cols>
  <sheetData>
    <row r="1" spans="1:7" ht="27.75" customHeight="1" x14ac:dyDescent="0.35">
      <c r="A1" s="5" t="s">
        <v>495</v>
      </c>
      <c r="B1" s="5"/>
      <c r="C1" s="5"/>
      <c r="D1" s="5"/>
      <c r="E1" s="5"/>
      <c r="F1" s="5"/>
      <c r="G1" s="5"/>
    </row>
    <row r="2" spans="1:7" x14ac:dyDescent="0.35">
      <c r="A2" s="4" t="s">
        <v>496</v>
      </c>
      <c r="B2" s="4"/>
      <c r="C2" s="4"/>
      <c r="D2" s="4"/>
      <c r="E2" s="4"/>
      <c r="F2" s="4"/>
      <c r="G2" s="4"/>
    </row>
    <row r="3" spans="1:7" ht="43.5" x14ac:dyDescent="0.35">
      <c r="A3" s="11" t="s">
        <v>17</v>
      </c>
      <c r="B3" s="11" t="s">
        <v>497</v>
      </c>
      <c r="C3" s="11" t="s">
        <v>498</v>
      </c>
      <c r="D3" s="11" t="s">
        <v>499</v>
      </c>
      <c r="E3" s="11" t="s">
        <v>500</v>
      </c>
      <c r="F3" s="11" t="s">
        <v>501</v>
      </c>
      <c r="G3" s="11" t="s">
        <v>502</v>
      </c>
    </row>
    <row r="4" spans="1:7" ht="139.5" customHeight="1" x14ac:dyDescent="0.35">
      <c r="A4" s="12" t="s">
        <v>23</v>
      </c>
      <c r="B4" s="12" t="s">
        <v>122</v>
      </c>
      <c r="C4" s="12" t="s">
        <v>503</v>
      </c>
      <c r="D4" s="13" t="s">
        <v>504</v>
      </c>
      <c r="E4" s="13" t="s">
        <v>505</v>
      </c>
      <c r="F4" s="13" t="s">
        <v>506</v>
      </c>
      <c r="G4" s="13" t="s">
        <v>507</v>
      </c>
    </row>
    <row r="5" spans="1:7" ht="139.5" customHeight="1" x14ac:dyDescent="0.35">
      <c r="A5" s="12" t="s">
        <v>23</v>
      </c>
      <c r="B5" s="12" t="s">
        <v>508</v>
      </c>
      <c r="C5" s="12" t="s">
        <v>509</v>
      </c>
      <c r="D5" s="13" t="s">
        <v>510</v>
      </c>
      <c r="E5" s="13" t="s">
        <v>511</v>
      </c>
      <c r="F5" s="13" t="s">
        <v>512</v>
      </c>
      <c r="G5" s="13" t="s">
        <v>513</v>
      </c>
    </row>
    <row r="6" spans="1:7" ht="139.5" customHeight="1" x14ac:dyDescent="0.35">
      <c r="A6" s="12" t="s">
        <v>23</v>
      </c>
      <c r="B6" s="12" t="s">
        <v>128</v>
      </c>
      <c r="C6" s="12" t="s">
        <v>514</v>
      </c>
      <c r="D6" s="13" t="s">
        <v>515</v>
      </c>
      <c r="E6" s="13" t="s">
        <v>516</v>
      </c>
      <c r="F6" s="13" t="s">
        <v>517</v>
      </c>
      <c r="G6" s="13" t="s">
        <v>518</v>
      </c>
    </row>
    <row r="7" spans="1:7" ht="139.5" customHeight="1" x14ac:dyDescent="0.35">
      <c r="A7" s="15" t="s">
        <v>25</v>
      </c>
      <c r="B7" s="15" t="s">
        <v>91</v>
      </c>
      <c r="C7" s="15" t="s">
        <v>503</v>
      </c>
      <c r="D7" s="16" t="s">
        <v>519</v>
      </c>
      <c r="E7" s="16" t="s">
        <v>520</v>
      </c>
      <c r="F7" s="16" t="s">
        <v>521</v>
      </c>
      <c r="G7" s="16" t="s">
        <v>522</v>
      </c>
    </row>
    <row r="8" spans="1:7" ht="139.5" customHeight="1" x14ac:dyDescent="0.35">
      <c r="A8" s="15" t="s">
        <v>25</v>
      </c>
      <c r="B8" s="15" t="s">
        <v>134</v>
      </c>
      <c r="C8" s="15" t="s">
        <v>514</v>
      </c>
      <c r="D8" s="16" t="s">
        <v>523</v>
      </c>
      <c r="E8" s="16" t="s">
        <v>524</v>
      </c>
      <c r="F8" s="16" t="s">
        <v>525</v>
      </c>
      <c r="G8" s="16" t="s">
        <v>526</v>
      </c>
    </row>
    <row r="9" spans="1:7" ht="139.5" customHeight="1" x14ac:dyDescent="0.35">
      <c r="A9" s="15" t="s">
        <v>25</v>
      </c>
      <c r="B9" s="15" t="s">
        <v>508</v>
      </c>
      <c r="C9" s="15" t="s">
        <v>527</v>
      </c>
      <c r="D9" s="16" t="s">
        <v>528</v>
      </c>
      <c r="E9" s="16" t="s">
        <v>529</v>
      </c>
      <c r="F9" s="16" t="s">
        <v>530</v>
      </c>
      <c r="G9" s="16" t="s">
        <v>531</v>
      </c>
    </row>
    <row r="10" spans="1:7" ht="139.5" customHeight="1" x14ac:dyDescent="0.35">
      <c r="A10" s="12" t="s">
        <v>27</v>
      </c>
      <c r="B10" s="12" t="s">
        <v>78</v>
      </c>
      <c r="C10" s="12" t="s">
        <v>532</v>
      </c>
      <c r="D10" s="13" t="s">
        <v>533</v>
      </c>
      <c r="E10" s="13" t="s">
        <v>534</v>
      </c>
      <c r="F10" s="13" t="s">
        <v>535</v>
      </c>
      <c r="G10" s="13" t="s">
        <v>536</v>
      </c>
    </row>
    <row r="11" spans="1:7" ht="139.5" customHeight="1" x14ac:dyDescent="0.35">
      <c r="A11" s="12" t="s">
        <v>27</v>
      </c>
      <c r="B11" s="12" t="s">
        <v>98</v>
      </c>
      <c r="C11" s="12" t="s">
        <v>509</v>
      </c>
      <c r="D11" s="13" t="s">
        <v>537</v>
      </c>
      <c r="E11" s="13" t="s">
        <v>538</v>
      </c>
      <c r="F11" s="13" t="s">
        <v>539</v>
      </c>
      <c r="G11" s="13" t="s">
        <v>540</v>
      </c>
    </row>
    <row r="12" spans="1:7" ht="139.5" customHeight="1" x14ac:dyDescent="0.35">
      <c r="A12" s="12" t="s">
        <v>27</v>
      </c>
      <c r="B12" s="12" t="s">
        <v>85</v>
      </c>
      <c r="C12" s="12" t="s">
        <v>503</v>
      </c>
      <c r="D12" s="13" t="s">
        <v>541</v>
      </c>
      <c r="E12" s="13" t="s">
        <v>542</v>
      </c>
      <c r="F12" s="13" t="s">
        <v>543</v>
      </c>
      <c r="G12" s="13" t="s">
        <v>544</v>
      </c>
    </row>
    <row r="13" spans="1:7" ht="139.5" customHeight="1" x14ac:dyDescent="0.35">
      <c r="A13" s="15" t="s">
        <v>29</v>
      </c>
      <c r="B13" s="15" t="s">
        <v>98</v>
      </c>
      <c r="C13" s="15" t="s">
        <v>503</v>
      </c>
      <c r="D13" s="16" t="s">
        <v>545</v>
      </c>
      <c r="E13" s="16" t="s">
        <v>546</v>
      </c>
      <c r="F13" s="16" t="s">
        <v>547</v>
      </c>
      <c r="G13" s="16" t="s">
        <v>548</v>
      </c>
    </row>
    <row r="14" spans="1:7" ht="139.5" customHeight="1" x14ac:dyDescent="0.35">
      <c r="A14" s="15" t="s">
        <v>29</v>
      </c>
      <c r="B14" s="15" t="s">
        <v>85</v>
      </c>
      <c r="C14" s="15" t="s">
        <v>514</v>
      </c>
      <c r="D14" s="16" t="s">
        <v>549</v>
      </c>
      <c r="E14" s="16" t="s">
        <v>550</v>
      </c>
      <c r="F14" s="16" t="s">
        <v>551</v>
      </c>
      <c r="G14" s="16" t="s">
        <v>552</v>
      </c>
    </row>
    <row r="15" spans="1:7" ht="139.5" customHeight="1" x14ac:dyDescent="0.35">
      <c r="A15" s="15" t="s">
        <v>29</v>
      </c>
      <c r="B15" s="15" t="s">
        <v>508</v>
      </c>
      <c r="C15" s="15" t="s">
        <v>527</v>
      </c>
      <c r="D15" s="16" t="s">
        <v>553</v>
      </c>
      <c r="E15" s="16" t="s">
        <v>554</v>
      </c>
      <c r="F15" s="16" t="s">
        <v>555</v>
      </c>
      <c r="G15" s="16" t="s">
        <v>556</v>
      </c>
    </row>
    <row r="16" spans="1:7" ht="139.5" customHeight="1" x14ac:dyDescent="0.35">
      <c r="A16" s="12" t="s">
        <v>31</v>
      </c>
      <c r="B16" s="12" t="s">
        <v>85</v>
      </c>
      <c r="C16" s="12" t="s">
        <v>503</v>
      </c>
      <c r="D16" s="13" t="s">
        <v>557</v>
      </c>
      <c r="E16" s="13" t="s">
        <v>558</v>
      </c>
      <c r="F16" s="13" t="s">
        <v>559</v>
      </c>
      <c r="G16" s="13" t="s">
        <v>560</v>
      </c>
    </row>
    <row r="17" spans="1:7" ht="139.5" customHeight="1" x14ac:dyDescent="0.35">
      <c r="A17" s="12" t="s">
        <v>31</v>
      </c>
      <c r="B17" s="12" t="s">
        <v>78</v>
      </c>
      <c r="C17" s="12" t="s">
        <v>509</v>
      </c>
      <c r="D17" s="13" t="s">
        <v>561</v>
      </c>
      <c r="E17" s="13" t="s">
        <v>562</v>
      </c>
      <c r="F17" s="13" t="s">
        <v>563</v>
      </c>
      <c r="G17" s="13" t="s">
        <v>564</v>
      </c>
    </row>
    <row r="18" spans="1:7" ht="139.5" customHeight="1" x14ac:dyDescent="0.35">
      <c r="A18" s="12" t="s">
        <v>31</v>
      </c>
      <c r="B18" s="12" t="s">
        <v>91</v>
      </c>
      <c r="C18" s="12" t="s">
        <v>527</v>
      </c>
      <c r="D18" s="13" t="s">
        <v>565</v>
      </c>
      <c r="E18" s="13" t="s">
        <v>566</v>
      </c>
      <c r="F18" s="13" t="s">
        <v>567</v>
      </c>
      <c r="G18" s="13" t="s">
        <v>568</v>
      </c>
    </row>
    <row r="19" spans="1:7" ht="139.5" customHeight="1" x14ac:dyDescent="0.35">
      <c r="A19" s="15" t="s">
        <v>33</v>
      </c>
      <c r="B19" s="15" t="s">
        <v>85</v>
      </c>
      <c r="C19" s="15" t="s">
        <v>503</v>
      </c>
      <c r="D19" s="16" t="s">
        <v>569</v>
      </c>
      <c r="E19" s="16" t="s">
        <v>570</v>
      </c>
      <c r="F19" s="16" t="s">
        <v>571</v>
      </c>
      <c r="G19" s="16" t="s">
        <v>572</v>
      </c>
    </row>
    <row r="20" spans="1:7" ht="139.5" customHeight="1" x14ac:dyDescent="0.35">
      <c r="A20" s="15" t="s">
        <v>33</v>
      </c>
      <c r="B20" s="15" t="s">
        <v>91</v>
      </c>
      <c r="C20" s="15" t="s">
        <v>514</v>
      </c>
      <c r="D20" s="16" t="s">
        <v>573</v>
      </c>
      <c r="E20" s="16" t="s">
        <v>574</v>
      </c>
      <c r="F20" s="16" t="s">
        <v>575</v>
      </c>
      <c r="G20" s="16" t="s">
        <v>576</v>
      </c>
    </row>
    <row r="21" spans="1:7" ht="139.5" customHeight="1" x14ac:dyDescent="0.35">
      <c r="A21" s="15" t="s">
        <v>33</v>
      </c>
      <c r="B21" s="15" t="s">
        <v>104</v>
      </c>
      <c r="C21" s="15" t="s">
        <v>509</v>
      </c>
      <c r="D21" s="16" t="s">
        <v>577</v>
      </c>
      <c r="E21" s="16" t="s">
        <v>578</v>
      </c>
      <c r="F21" s="16" t="s">
        <v>579</v>
      </c>
      <c r="G21" s="16" t="s">
        <v>580</v>
      </c>
    </row>
    <row r="22" spans="1:7" ht="139.5" customHeight="1" x14ac:dyDescent="0.35">
      <c r="A22" s="12" t="s">
        <v>35</v>
      </c>
      <c r="B22" s="12" t="s">
        <v>91</v>
      </c>
      <c r="C22" s="12" t="s">
        <v>503</v>
      </c>
      <c r="D22" s="13" t="s">
        <v>581</v>
      </c>
      <c r="E22" s="13" t="s">
        <v>582</v>
      </c>
      <c r="F22" s="13" t="s">
        <v>583</v>
      </c>
      <c r="G22" s="13" t="s">
        <v>584</v>
      </c>
    </row>
    <row r="23" spans="1:7" ht="139.5" customHeight="1" x14ac:dyDescent="0.35">
      <c r="A23" s="12" t="s">
        <v>35</v>
      </c>
      <c r="B23" s="12" t="s">
        <v>78</v>
      </c>
      <c r="C23" s="12" t="s">
        <v>532</v>
      </c>
      <c r="D23" s="13" t="s">
        <v>585</v>
      </c>
      <c r="E23" s="13" t="s">
        <v>586</v>
      </c>
      <c r="F23" s="13" t="s">
        <v>587</v>
      </c>
      <c r="G23" s="13" t="s">
        <v>588</v>
      </c>
    </row>
    <row r="24" spans="1:7" ht="139.5" customHeight="1" x14ac:dyDescent="0.35">
      <c r="A24" s="12" t="s">
        <v>35</v>
      </c>
      <c r="B24" s="12" t="s">
        <v>85</v>
      </c>
      <c r="C24" s="12" t="s">
        <v>527</v>
      </c>
      <c r="D24" s="13" t="s">
        <v>589</v>
      </c>
      <c r="E24" s="13" t="s">
        <v>590</v>
      </c>
      <c r="F24" s="13" t="s">
        <v>591</v>
      </c>
      <c r="G24" s="13" t="s">
        <v>592</v>
      </c>
    </row>
    <row r="25" spans="1:7" ht="139.5" customHeight="1" x14ac:dyDescent="0.35">
      <c r="A25" s="15" t="s">
        <v>37</v>
      </c>
      <c r="B25" s="15" t="s">
        <v>78</v>
      </c>
      <c r="C25" s="15" t="s">
        <v>593</v>
      </c>
      <c r="D25" s="16" t="s">
        <v>594</v>
      </c>
      <c r="E25" s="16" t="s">
        <v>595</v>
      </c>
      <c r="F25" s="16" t="s">
        <v>596</v>
      </c>
      <c r="G25" s="16" t="s">
        <v>597</v>
      </c>
    </row>
    <row r="26" spans="1:7" ht="139.5" customHeight="1" x14ac:dyDescent="0.35">
      <c r="A26" s="15" t="s">
        <v>37</v>
      </c>
      <c r="B26" s="15" t="s">
        <v>91</v>
      </c>
      <c r="C26" s="15" t="s">
        <v>503</v>
      </c>
      <c r="D26" s="16" t="s">
        <v>598</v>
      </c>
      <c r="E26" s="16" t="s">
        <v>599</v>
      </c>
      <c r="F26" s="16" t="s">
        <v>600</v>
      </c>
      <c r="G26" s="16" t="s">
        <v>601</v>
      </c>
    </row>
    <row r="27" spans="1:7" ht="139.5" customHeight="1" x14ac:dyDescent="0.35">
      <c r="A27" s="15" t="s">
        <v>37</v>
      </c>
      <c r="B27" s="15" t="s">
        <v>104</v>
      </c>
      <c r="C27" s="15" t="s">
        <v>514</v>
      </c>
      <c r="D27" s="16" t="s">
        <v>602</v>
      </c>
      <c r="E27" s="16" t="s">
        <v>603</v>
      </c>
      <c r="F27" s="16" t="s">
        <v>604</v>
      </c>
      <c r="G27" s="16" t="s">
        <v>605</v>
      </c>
    </row>
    <row r="28" spans="1:7" ht="139.5" customHeight="1" x14ac:dyDescent="0.35">
      <c r="A28" s="12" t="s">
        <v>39</v>
      </c>
      <c r="B28" s="12" t="s">
        <v>91</v>
      </c>
      <c r="C28" s="12" t="s">
        <v>503</v>
      </c>
      <c r="D28" s="13" t="s">
        <v>606</v>
      </c>
      <c r="E28" s="13" t="s">
        <v>607</v>
      </c>
      <c r="F28" s="13" t="s">
        <v>608</v>
      </c>
      <c r="G28" s="13" t="s">
        <v>609</v>
      </c>
    </row>
    <row r="29" spans="1:7" ht="139.5" customHeight="1" x14ac:dyDescent="0.35">
      <c r="A29" s="12" t="s">
        <v>39</v>
      </c>
      <c r="B29" s="12" t="s">
        <v>98</v>
      </c>
      <c r="C29" s="12" t="s">
        <v>610</v>
      </c>
      <c r="D29" s="13" t="s">
        <v>611</v>
      </c>
      <c r="E29" s="13" t="s">
        <v>612</v>
      </c>
      <c r="F29" s="13" t="s">
        <v>613</v>
      </c>
      <c r="G29" s="13" t="s">
        <v>614</v>
      </c>
    </row>
    <row r="30" spans="1:7" ht="139.5" customHeight="1" x14ac:dyDescent="0.35">
      <c r="A30" s="12" t="s">
        <v>39</v>
      </c>
      <c r="B30" s="12" t="s">
        <v>85</v>
      </c>
      <c r="C30" s="12" t="s">
        <v>615</v>
      </c>
      <c r="D30" s="13" t="s">
        <v>616</v>
      </c>
      <c r="E30" s="13" t="s">
        <v>617</v>
      </c>
      <c r="F30" s="13" t="s">
        <v>618</v>
      </c>
      <c r="G30" s="13" t="s">
        <v>619</v>
      </c>
    </row>
    <row r="31" spans="1:7" ht="139.5" customHeight="1" x14ac:dyDescent="0.35">
      <c r="A31" s="15" t="s">
        <v>41</v>
      </c>
      <c r="B31" s="15" t="s">
        <v>78</v>
      </c>
      <c r="C31" s="15" t="s">
        <v>593</v>
      </c>
      <c r="D31" s="16" t="s">
        <v>620</v>
      </c>
      <c r="E31" s="16" t="s">
        <v>621</v>
      </c>
      <c r="F31" s="16" t="s">
        <v>622</v>
      </c>
      <c r="G31" s="16" t="s">
        <v>623</v>
      </c>
    </row>
    <row r="32" spans="1:7" ht="139.5" customHeight="1" x14ac:dyDescent="0.35">
      <c r="A32" s="15" t="s">
        <v>41</v>
      </c>
      <c r="B32" s="15" t="s">
        <v>98</v>
      </c>
      <c r="C32" s="15" t="s">
        <v>503</v>
      </c>
      <c r="D32" s="16" t="s">
        <v>624</v>
      </c>
      <c r="E32" s="16" t="s">
        <v>625</v>
      </c>
      <c r="F32" s="16" t="s">
        <v>626</v>
      </c>
      <c r="G32" s="16" t="s">
        <v>627</v>
      </c>
    </row>
    <row r="33" spans="1:7" ht="139.5" customHeight="1" x14ac:dyDescent="0.35">
      <c r="A33" s="15" t="s">
        <v>41</v>
      </c>
      <c r="B33" s="15" t="s">
        <v>116</v>
      </c>
      <c r="C33" s="15" t="s">
        <v>514</v>
      </c>
      <c r="D33" s="16" t="s">
        <v>628</v>
      </c>
      <c r="E33" s="16" t="s">
        <v>629</v>
      </c>
      <c r="F33" s="16" t="s">
        <v>630</v>
      </c>
      <c r="G33" s="16" t="s">
        <v>631</v>
      </c>
    </row>
    <row r="34" spans="1:7" ht="139.5" customHeight="1" x14ac:dyDescent="0.35">
      <c r="A34" s="15" t="s">
        <v>41</v>
      </c>
      <c r="B34" s="15" t="s">
        <v>128</v>
      </c>
      <c r="C34" s="15" t="s">
        <v>503</v>
      </c>
      <c r="D34" s="16" t="s">
        <v>632</v>
      </c>
      <c r="E34" s="16" t="s">
        <v>633</v>
      </c>
      <c r="F34" s="16" t="s">
        <v>634</v>
      </c>
      <c r="G34" s="16" t="s">
        <v>635</v>
      </c>
    </row>
    <row r="35" spans="1:7" ht="139.5" customHeight="1" x14ac:dyDescent="0.35">
      <c r="A35" s="12" t="s">
        <v>43</v>
      </c>
      <c r="B35" s="12" t="s">
        <v>91</v>
      </c>
      <c r="C35" s="12" t="s">
        <v>514</v>
      </c>
      <c r="D35" s="13" t="s">
        <v>636</v>
      </c>
      <c r="E35" s="13" t="s">
        <v>637</v>
      </c>
      <c r="F35" s="13" t="s">
        <v>638</v>
      </c>
      <c r="G35" s="13" t="s">
        <v>639</v>
      </c>
    </row>
    <row r="36" spans="1:7" ht="139.5" customHeight="1" x14ac:dyDescent="0.35">
      <c r="A36" s="12" t="s">
        <v>43</v>
      </c>
      <c r="B36" s="12" t="s">
        <v>98</v>
      </c>
      <c r="C36" s="12" t="s">
        <v>593</v>
      </c>
      <c r="D36" s="13" t="s">
        <v>640</v>
      </c>
      <c r="E36" s="13" t="s">
        <v>641</v>
      </c>
      <c r="F36" s="13" t="s">
        <v>642</v>
      </c>
      <c r="G36" s="13" t="s">
        <v>643</v>
      </c>
    </row>
    <row r="37" spans="1:7" ht="139.5" customHeight="1" x14ac:dyDescent="0.35">
      <c r="A37" s="12" t="s">
        <v>43</v>
      </c>
      <c r="B37" s="12" t="s">
        <v>104</v>
      </c>
      <c r="C37" s="12" t="s">
        <v>514</v>
      </c>
      <c r="D37" s="13" t="s">
        <v>644</v>
      </c>
      <c r="E37" s="13" t="s">
        <v>645</v>
      </c>
      <c r="F37" s="13" t="s">
        <v>646</v>
      </c>
      <c r="G37" s="13" t="s">
        <v>647</v>
      </c>
    </row>
    <row r="38" spans="1:7" ht="15" customHeight="1" x14ac:dyDescent="0.35">
      <c r="A38" s="1" t="s">
        <v>648</v>
      </c>
      <c r="B38" s="1"/>
      <c r="C38" s="18">
        <f>COUNTA(C4:C37)</f>
        <v>34</v>
      </c>
    </row>
    <row r="40" spans="1:7" x14ac:dyDescent="0.35">
      <c r="A40" s="8" t="s">
        <v>649</v>
      </c>
    </row>
    <row r="41" spans="1:7" x14ac:dyDescent="0.35">
      <c r="A41" s="11" t="s">
        <v>650</v>
      </c>
      <c r="B41" s="11" t="s">
        <v>651</v>
      </c>
      <c r="C41" s="11" t="s">
        <v>652</v>
      </c>
    </row>
    <row r="42" spans="1:7" ht="58" x14ac:dyDescent="0.35">
      <c r="A42" s="23" t="s">
        <v>503</v>
      </c>
      <c r="B42" s="22" t="s">
        <v>653</v>
      </c>
      <c r="C42" s="22" t="s">
        <v>654</v>
      </c>
    </row>
    <row r="43" spans="1:7" ht="58" x14ac:dyDescent="0.35">
      <c r="A43" s="23" t="s">
        <v>593</v>
      </c>
      <c r="B43" s="22" t="s">
        <v>655</v>
      </c>
      <c r="C43" s="22" t="s">
        <v>656</v>
      </c>
    </row>
    <row r="44" spans="1:7" ht="58" x14ac:dyDescent="0.35">
      <c r="A44" s="23" t="s">
        <v>514</v>
      </c>
      <c r="B44" s="22" t="s">
        <v>657</v>
      </c>
      <c r="C44" s="22" t="s">
        <v>658</v>
      </c>
    </row>
    <row r="45" spans="1:7" ht="58" x14ac:dyDescent="0.35">
      <c r="A45" s="23" t="s">
        <v>527</v>
      </c>
      <c r="B45" s="22" t="s">
        <v>659</v>
      </c>
      <c r="C45" s="22" t="s">
        <v>660</v>
      </c>
    </row>
    <row r="46" spans="1:7" ht="58" x14ac:dyDescent="0.35">
      <c r="A46" s="23" t="s">
        <v>509</v>
      </c>
      <c r="B46" s="22" t="s">
        <v>661</v>
      </c>
      <c r="C46" s="22" t="s">
        <v>662</v>
      </c>
    </row>
  </sheetData>
  <mergeCells count="3">
    <mergeCell ref="A1:G1"/>
    <mergeCell ref="A2:G2"/>
    <mergeCell ref="A38:B3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6"/>
  <sheetViews>
    <sheetView zoomScaleNormal="100" workbookViewId="0">
      <selection activeCell="E7" sqref="E7"/>
    </sheetView>
  </sheetViews>
  <sheetFormatPr defaultColWidth="8.6328125" defaultRowHeight="14.5" x14ac:dyDescent="0.35"/>
  <cols>
    <col min="1" max="1" width="8" customWidth="1"/>
    <col min="2" max="2" width="40.453125" customWidth="1"/>
    <col min="3" max="4" width="46" customWidth="1"/>
    <col min="5" max="5" width="32" customWidth="1"/>
  </cols>
  <sheetData>
    <row r="1" spans="1:5" ht="27.75" customHeight="1" x14ac:dyDescent="0.35">
      <c r="A1" s="5" t="s">
        <v>663</v>
      </c>
      <c r="B1" s="5"/>
      <c r="C1" s="5"/>
      <c r="D1" s="5"/>
      <c r="E1" s="5"/>
    </row>
    <row r="2" spans="1:5" x14ac:dyDescent="0.35">
      <c r="A2" s="4" t="s">
        <v>664</v>
      </c>
      <c r="B2" s="4"/>
      <c r="C2" s="4"/>
      <c r="D2" s="4"/>
      <c r="E2" s="4"/>
    </row>
    <row r="4" spans="1:5" ht="18.5" x14ac:dyDescent="0.45">
      <c r="A4" s="7" t="s">
        <v>665</v>
      </c>
    </row>
    <row r="5" spans="1:5" ht="43.5" x14ac:dyDescent="0.35">
      <c r="A5" s="11" t="s">
        <v>666</v>
      </c>
      <c r="B5" s="11" t="s">
        <v>667</v>
      </c>
      <c r="C5" s="11" t="s">
        <v>668</v>
      </c>
      <c r="D5" s="11" t="s">
        <v>669</v>
      </c>
    </row>
    <row r="6" spans="1:5" ht="101.5" x14ac:dyDescent="0.35">
      <c r="A6" s="23" t="s">
        <v>670</v>
      </c>
      <c r="B6" s="22" t="s">
        <v>671</v>
      </c>
      <c r="C6" s="23" t="s">
        <v>672</v>
      </c>
      <c r="D6" s="22" t="s">
        <v>673</v>
      </c>
    </row>
    <row r="7" spans="1:5" ht="101.5" x14ac:dyDescent="0.35">
      <c r="A7" s="23" t="s">
        <v>674</v>
      </c>
      <c r="B7" s="22" t="s">
        <v>675</v>
      </c>
      <c r="C7" s="23" t="s">
        <v>672</v>
      </c>
      <c r="D7" s="22" t="s">
        <v>676</v>
      </c>
    </row>
    <row r="8" spans="1:5" ht="87" x14ac:dyDescent="0.35">
      <c r="A8" s="23" t="s">
        <v>677</v>
      </c>
      <c r="B8" s="22" t="s">
        <v>678</v>
      </c>
      <c r="C8" s="23" t="s">
        <v>672</v>
      </c>
      <c r="D8" s="22" t="s">
        <v>679</v>
      </c>
    </row>
    <row r="9" spans="1:5" ht="87" x14ac:dyDescent="0.35">
      <c r="A9" s="23" t="s">
        <v>680</v>
      </c>
      <c r="B9" s="22" t="s">
        <v>681</v>
      </c>
      <c r="C9" s="23" t="s">
        <v>672</v>
      </c>
      <c r="D9" s="22" t="s">
        <v>682</v>
      </c>
    </row>
    <row r="10" spans="1:5" ht="87" x14ac:dyDescent="0.35">
      <c r="A10" s="23" t="s">
        <v>683</v>
      </c>
      <c r="B10" s="22" t="s">
        <v>684</v>
      </c>
      <c r="C10" s="23" t="s">
        <v>672</v>
      </c>
      <c r="D10" s="22" t="s">
        <v>685</v>
      </c>
    </row>
    <row r="12" spans="1:5" ht="18.5" x14ac:dyDescent="0.45">
      <c r="A12" s="7" t="s">
        <v>686</v>
      </c>
    </row>
    <row r="13" spans="1:5" ht="43.5" x14ac:dyDescent="0.35">
      <c r="A13" s="11" t="s">
        <v>666</v>
      </c>
      <c r="B13" s="11" t="s">
        <v>687</v>
      </c>
      <c r="C13" s="11" t="s">
        <v>668</v>
      </c>
      <c r="D13" s="11" t="s">
        <v>688</v>
      </c>
    </row>
    <row r="14" spans="1:5" ht="87" x14ac:dyDescent="0.35">
      <c r="A14" s="23" t="s">
        <v>670</v>
      </c>
      <c r="B14" s="22" t="s">
        <v>689</v>
      </c>
      <c r="C14" s="23" t="s">
        <v>672</v>
      </c>
      <c r="D14" s="22" t="str">
        <f>"81 entries / "&amp;'1. Overview &amp; Per-Week Summary'!C11&amp;" prompts (Tỷ lệ "&amp;TEXT('1. Overview &amp; Per-Week Summary'!C13,"0.0%")&amp;")"</f>
        <v>81 entries / 585 prompts (Tỷ lệ 13.8%)</v>
      </c>
    </row>
    <row r="15" spans="1:5" ht="87" x14ac:dyDescent="0.35">
      <c r="A15" s="23" t="s">
        <v>674</v>
      </c>
      <c r="B15" s="22" t="s">
        <v>690</v>
      </c>
      <c r="C15" s="23" t="s">
        <v>672</v>
      </c>
      <c r="D15" s="22" t="str">
        <f>"D("&amp;'1. Overview &amp; Per-Week Summary'!B40&amp;"), P("&amp;'1. Overview &amp; Per-Week Summary'!B41&amp;"), A("&amp;'1. Overview &amp; Per-Week Summary'!B42&amp;"), Alg("&amp;'1. Overview &amp; Per-Week Summary'!B43&amp;") - đầy đủ mặt mỗi tuần"</f>
        <v>D(24), P(24), A(18), Alg(15) - đầy đủ mặt mỗi tuần</v>
      </c>
    </row>
    <row r="16" spans="1:5" ht="87" x14ac:dyDescent="0.35">
      <c r="A16" s="23" t="s">
        <v>677</v>
      </c>
      <c r="B16" s="22" t="s">
        <v>691</v>
      </c>
      <c r="C16" s="23" t="s">
        <v>672</v>
      </c>
      <c r="D16" s="22" t="str">
        <f>"Tổng "&amp;'3. Hallucination Detection'!C38&amp;" case hallucination đã kê khai và khắc phục qua 11 tuần"</f>
        <v>Tổng 34 case hallucination đã kê khai và khắc phục qua 11 tuần</v>
      </c>
    </row>
    <row r="17" spans="1:5" ht="87" x14ac:dyDescent="0.35">
      <c r="A17" s="23" t="s">
        <v>680</v>
      </c>
      <c r="B17" s="22" t="s">
        <v>692</v>
      </c>
      <c r="C17" s="23" t="s">
        <v>672</v>
      </c>
      <c r="D17" s="22" t="s">
        <v>693</v>
      </c>
    </row>
    <row r="18" spans="1:5" ht="58" x14ac:dyDescent="0.35">
      <c r="A18" s="23" t="s">
        <v>683</v>
      </c>
      <c r="B18" s="22" t="s">
        <v>694</v>
      </c>
      <c r="C18" s="23" t="s">
        <v>672</v>
      </c>
      <c r="D18" s="22" t="s">
        <v>695</v>
      </c>
    </row>
    <row r="20" spans="1:5" ht="18.5" x14ac:dyDescent="0.45">
      <c r="A20" s="7" t="s">
        <v>696</v>
      </c>
    </row>
    <row r="21" spans="1:5" x14ac:dyDescent="0.35">
      <c r="A21" s="4" t="s">
        <v>697</v>
      </c>
      <c r="B21" s="4"/>
      <c r="C21" s="4"/>
      <c r="D21" s="4"/>
      <c r="E21" s="4"/>
    </row>
    <row r="22" spans="1:5" x14ac:dyDescent="0.35">
      <c r="A22" s="11" t="s">
        <v>17</v>
      </c>
      <c r="B22" s="11" t="s">
        <v>70</v>
      </c>
      <c r="C22" s="11" t="s">
        <v>698</v>
      </c>
      <c r="D22" s="11" t="s">
        <v>699</v>
      </c>
      <c r="E22" s="11" t="s">
        <v>700</v>
      </c>
    </row>
    <row r="23" spans="1:5" ht="90" customHeight="1" x14ac:dyDescent="0.35">
      <c r="A23" s="12" t="s">
        <v>23</v>
      </c>
      <c r="B23" s="12" t="s">
        <v>78</v>
      </c>
      <c r="C23" s="13"/>
      <c r="D23" s="13"/>
      <c r="E23" s="13"/>
    </row>
    <row r="24" spans="1:5" ht="90" customHeight="1" x14ac:dyDescent="0.35">
      <c r="A24" s="12" t="s">
        <v>23</v>
      </c>
      <c r="B24" s="12" t="s">
        <v>85</v>
      </c>
      <c r="C24" s="13"/>
      <c r="D24" s="13"/>
      <c r="E24" s="13"/>
    </row>
    <row r="25" spans="1:5" ht="90" customHeight="1" x14ac:dyDescent="0.35">
      <c r="A25" s="12" t="s">
        <v>23</v>
      </c>
      <c r="B25" s="12" t="s">
        <v>91</v>
      </c>
      <c r="C25" s="13"/>
      <c r="D25" s="13"/>
      <c r="E25" s="13"/>
    </row>
    <row r="26" spans="1:5" ht="90" customHeight="1" x14ac:dyDescent="0.35">
      <c r="A26" s="15" t="s">
        <v>25</v>
      </c>
      <c r="B26" s="15" t="s">
        <v>78</v>
      </c>
      <c r="C26" s="16" t="s">
        <v>701</v>
      </c>
      <c r="D26" s="16" t="s">
        <v>702</v>
      </c>
      <c r="E26" s="16" t="s">
        <v>703</v>
      </c>
    </row>
    <row r="27" spans="1:5" ht="90" customHeight="1" x14ac:dyDescent="0.35">
      <c r="A27" s="15" t="s">
        <v>25</v>
      </c>
      <c r="B27" s="15" t="s">
        <v>85</v>
      </c>
      <c r="C27" s="16" t="s">
        <v>704</v>
      </c>
      <c r="D27" s="16" t="s">
        <v>705</v>
      </c>
      <c r="E27" s="16" t="s">
        <v>706</v>
      </c>
    </row>
    <row r="28" spans="1:5" ht="90" customHeight="1" x14ac:dyDescent="0.35">
      <c r="A28" s="15" t="s">
        <v>25</v>
      </c>
      <c r="B28" s="15" t="s">
        <v>91</v>
      </c>
      <c r="C28" s="16" t="s">
        <v>707</v>
      </c>
      <c r="D28" s="16" t="s">
        <v>708</v>
      </c>
      <c r="E28" s="16" t="s">
        <v>709</v>
      </c>
    </row>
    <row r="29" spans="1:5" ht="90" customHeight="1" x14ac:dyDescent="0.35">
      <c r="A29" s="15" t="s">
        <v>25</v>
      </c>
      <c r="B29" s="15" t="s">
        <v>98</v>
      </c>
      <c r="C29" s="16" t="s">
        <v>710</v>
      </c>
      <c r="D29" s="16" t="s">
        <v>711</v>
      </c>
      <c r="E29" s="16" t="s">
        <v>712</v>
      </c>
    </row>
    <row r="30" spans="1:5" ht="90" customHeight="1" x14ac:dyDescent="0.35">
      <c r="A30" s="15" t="s">
        <v>25</v>
      </c>
      <c r="B30" s="15" t="s">
        <v>104</v>
      </c>
      <c r="C30" s="16" t="s">
        <v>713</v>
      </c>
      <c r="D30" s="16" t="s">
        <v>714</v>
      </c>
      <c r="E30" s="16" t="s">
        <v>715</v>
      </c>
    </row>
    <row r="31" spans="1:5" ht="90" customHeight="1" x14ac:dyDescent="0.35">
      <c r="A31" s="12" t="s">
        <v>27</v>
      </c>
      <c r="B31" s="12" t="s">
        <v>670</v>
      </c>
      <c r="C31" s="13" t="s">
        <v>716</v>
      </c>
      <c r="D31" s="13" t="s">
        <v>717</v>
      </c>
      <c r="E31" s="13" t="s">
        <v>718</v>
      </c>
    </row>
    <row r="32" spans="1:5" ht="90" customHeight="1" x14ac:dyDescent="0.35">
      <c r="A32" s="12" t="s">
        <v>27</v>
      </c>
      <c r="B32" s="12" t="s">
        <v>674</v>
      </c>
      <c r="C32" s="13" t="s">
        <v>719</v>
      </c>
      <c r="D32" s="13" t="s">
        <v>720</v>
      </c>
      <c r="E32" s="13" t="s">
        <v>721</v>
      </c>
    </row>
    <row r="33" spans="1:5" ht="90" customHeight="1" x14ac:dyDescent="0.35">
      <c r="A33" s="12" t="s">
        <v>27</v>
      </c>
      <c r="B33" s="12" t="s">
        <v>677</v>
      </c>
      <c r="C33" s="13" t="s">
        <v>722</v>
      </c>
      <c r="D33" s="13" t="s">
        <v>723</v>
      </c>
      <c r="E33" s="13" t="s">
        <v>724</v>
      </c>
    </row>
    <row r="34" spans="1:5" ht="90" customHeight="1" x14ac:dyDescent="0.35">
      <c r="A34" s="12" t="s">
        <v>27</v>
      </c>
      <c r="B34" s="12" t="s">
        <v>680</v>
      </c>
      <c r="C34" s="13" t="s">
        <v>725</v>
      </c>
      <c r="D34" s="13" t="s">
        <v>726</v>
      </c>
      <c r="E34" s="13" t="s">
        <v>727</v>
      </c>
    </row>
    <row r="35" spans="1:5" ht="90" customHeight="1" x14ac:dyDescent="0.35">
      <c r="A35" s="15" t="s">
        <v>29</v>
      </c>
      <c r="B35" s="15" t="s">
        <v>670</v>
      </c>
      <c r="C35" s="16" t="s">
        <v>728</v>
      </c>
      <c r="D35" s="16" t="s">
        <v>729</v>
      </c>
      <c r="E35" s="16" t="s">
        <v>729</v>
      </c>
    </row>
    <row r="36" spans="1:5" ht="90" customHeight="1" x14ac:dyDescent="0.35">
      <c r="A36" s="15" t="s">
        <v>29</v>
      </c>
      <c r="B36" s="15" t="s">
        <v>674</v>
      </c>
      <c r="C36" s="16" t="s">
        <v>730</v>
      </c>
      <c r="D36" s="16" t="s">
        <v>729</v>
      </c>
      <c r="E36" s="16" t="s">
        <v>729</v>
      </c>
    </row>
    <row r="37" spans="1:5" ht="90" customHeight="1" x14ac:dyDescent="0.35">
      <c r="A37" s="15" t="s">
        <v>29</v>
      </c>
      <c r="B37" s="15" t="s">
        <v>677</v>
      </c>
      <c r="C37" s="16" t="s">
        <v>731</v>
      </c>
      <c r="D37" s="16" t="s">
        <v>729</v>
      </c>
      <c r="E37" s="16" t="s">
        <v>729</v>
      </c>
    </row>
    <row r="38" spans="1:5" ht="90" customHeight="1" x14ac:dyDescent="0.35">
      <c r="A38" s="15" t="s">
        <v>29</v>
      </c>
      <c r="B38" s="15" t="s">
        <v>680</v>
      </c>
      <c r="C38" s="16" t="s">
        <v>732</v>
      </c>
      <c r="D38" s="16" t="s">
        <v>729</v>
      </c>
      <c r="E38" s="16" t="s">
        <v>729</v>
      </c>
    </row>
    <row r="39" spans="1:5" ht="90" customHeight="1" x14ac:dyDescent="0.35">
      <c r="A39" s="12" t="s">
        <v>31</v>
      </c>
      <c r="B39" s="12" t="s">
        <v>78</v>
      </c>
      <c r="C39" s="13" t="s">
        <v>733</v>
      </c>
      <c r="D39" s="13" t="s">
        <v>734</v>
      </c>
      <c r="E39" s="13" t="s">
        <v>735</v>
      </c>
    </row>
    <row r="40" spans="1:5" ht="90" customHeight="1" x14ac:dyDescent="0.35">
      <c r="A40" s="12" t="s">
        <v>31</v>
      </c>
      <c r="B40" s="12" t="s">
        <v>85</v>
      </c>
      <c r="C40" s="13" t="s">
        <v>736</v>
      </c>
      <c r="D40" s="13" t="s">
        <v>737</v>
      </c>
      <c r="E40" s="13" t="s">
        <v>738</v>
      </c>
    </row>
    <row r="41" spans="1:5" ht="90" customHeight="1" x14ac:dyDescent="0.35">
      <c r="A41" s="12" t="s">
        <v>31</v>
      </c>
      <c r="B41" s="12" t="s">
        <v>91</v>
      </c>
      <c r="C41" s="13" t="s">
        <v>739</v>
      </c>
      <c r="D41" s="13" t="s">
        <v>740</v>
      </c>
      <c r="E41" s="13" t="s">
        <v>741</v>
      </c>
    </row>
    <row r="42" spans="1:5" ht="90" customHeight="1" x14ac:dyDescent="0.35">
      <c r="A42" s="12" t="s">
        <v>31</v>
      </c>
      <c r="B42" s="12" t="s">
        <v>98</v>
      </c>
      <c r="C42" s="13" t="s">
        <v>742</v>
      </c>
      <c r="D42" s="13" t="s">
        <v>743</v>
      </c>
      <c r="E42" s="13" t="s">
        <v>744</v>
      </c>
    </row>
    <row r="43" spans="1:5" ht="90" customHeight="1" x14ac:dyDescent="0.35">
      <c r="A43" s="12" t="s">
        <v>31</v>
      </c>
      <c r="B43" s="12" t="s">
        <v>104</v>
      </c>
      <c r="C43" s="13" t="s">
        <v>745</v>
      </c>
      <c r="D43" s="13" t="s">
        <v>746</v>
      </c>
      <c r="E43" s="13" t="s">
        <v>747</v>
      </c>
    </row>
    <row r="44" spans="1:5" ht="90" customHeight="1" x14ac:dyDescent="0.35">
      <c r="A44" s="12" t="s">
        <v>31</v>
      </c>
      <c r="B44" s="12" t="s">
        <v>110</v>
      </c>
      <c r="C44" s="13" t="s">
        <v>748</v>
      </c>
      <c r="D44" s="13" t="s">
        <v>749</v>
      </c>
      <c r="E44" s="13" t="s">
        <v>750</v>
      </c>
    </row>
    <row r="45" spans="1:5" ht="90" customHeight="1" x14ac:dyDescent="0.35">
      <c r="A45" s="12" t="s">
        <v>31</v>
      </c>
      <c r="B45" s="12" t="s">
        <v>116</v>
      </c>
      <c r="C45" s="13" t="s">
        <v>751</v>
      </c>
      <c r="D45" s="13" t="s">
        <v>752</v>
      </c>
      <c r="E45" s="13" t="s">
        <v>753</v>
      </c>
    </row>
    <row r="46" spans="1:5" ht="90" customHeight="1" x14ac:dyDescent="0.35">
      <c r="A46" s="15" t="s">
        <v>33</v>
      </c>
      <c r="B46" s="15" t="s">
        <v>78</v>
      </c>
      <c r="C46" s="16" t="s">
        <v>754</v>
      </c>
      <c r="D46" s="16" t="s">
        <v>755</v>
      </c>
      <c r="E46" s="16" t="s">
        <v>756</v>
      </c>
    </row>
    <row r="47" spans="1:5" ht="90" customHeight="1" x14ac:dyDescent="0.35">
      <c r="A47" s="15" t="s">
        <v>33</v>
      </c>
      <c r="B47" s="15" t="s">
        <v>85</v>
      </c>
      <c r="C47" s="16" t="s">
        <v>757</v>
      </c>
      <c r="D47" s="16" t="s">
        <v>758</v>
      </c>
      <c r="E47" s="16" t="s">
        <v>759</v>
      </c>
    </row>
    <row r="48" spans="1:5" ht="90" customHeight="1" x14ac:dyDescent="0.35">
      <c r="A48" s="15" t="s">
        <v>33</v>
      </c>
      <c r="B48" s="15" t="s">
        <v>91</v>
      </c>
      <c r="C48" s="16" t="s">
        <v>760</v>
      </c>
      <c r="D48" s="16" t="s">
        <v>761</v>
      </c>
      <c r="E48" s="16" t="s">
        <v>762</v>
      </c>
    </row>
    <row r="49" spans="1:5" ht="90" customHeight="1" x14ac:dyDescent="0.35">
      <c r="A49" s="15" t="s">
        <v>33</v>
      </c>
      <c r="B49" s="15" t="s">
        <v>98</v>
      </c>
      <c r="C49" s="16" t="s">
        <v>763</v>
      </c>
      <c r="D49" s="16" t="s">
        <v>764</v>
      </c>
      <c r="E49" s="16" t="s">
        <v>765</v>
      </c>
    </row>
    <row r="50" spans="1:5" ht="90" customHeight="1" x14ac:dyDescent="0.35">
      <c r="A50" s="15" t="s">
        <v>33</v>
      </c>
      <c r="B50" s="15" t="s">
        <v>104</v>
      </c>
      <c r="C50" s="16" t="s">
        <v>766</v>
      </c>
      <c r="D50" s="16" t="s">
        <v>767</v>
      </c>
      <c r="E50" s="16" t="s">
        <v>768</v>
      </c>
    </row>
    <row r="51" spans="1:5" ht="90" customHeight="1" x14ac:dyDescent="0.35">
      <c r="A51" s="15" t="s">
        <v>33</v>
      </c>
      <c r="B51" s="15" t="s">
        <v>110</v>
      </c>
      <c r="C51" s="16" t="s">
        <v>769</v>
      </c>
      <c r="D51" s="16" t="s">
        <v>770</v>
      </c>
      <c r="E51" s="16" t="s">
        <v>771</v>
      </c>
    </row>
    <row r="52" spans="1:5" ht="90" customHeight="1" x14ac:dyDescent="0.35">
      <c r="A52" s="12" t="s">
        <v>35</v>
      </c>
      <c r="B52" s="12" t="s">
        <v>78</v>
      </c>
      <c r="C52" s="13" t="s">
        <v>772</v>
      </c>
      <c r="D52" s="13" t="s">
        <v>773</v>
      </c>
      <c r="E52" s="13" t="s">
        <v>774</v>
      </c>
    </row>
    <row r="53" spans="1:5" ht="90" customHeight="1" x14ac:dyDescent="0.35">
      <c r="A53" s="12" t="s">
        <v>35</v>
      </c>
      <c r="B53" s="12" t="s">
        <v>85</v>
      </c>
      <c r="C53" s="13" t="s">
        <v>775</v>
      </c>
      <c r="D53" s="13" t="s">
        <v>776</v>
      </c>
      <c r="E53" s="13" t="s">
        <v>777</v>
      </c>
    </row>
    <row r="54" spans="1:5" ht="90" customHeight="1" x14ac:dyDescent="0.35">
      <c r="A54" s="12" t="s">
        <v>35</v>
      </c>
      <c r="B54" s="12" t="s">
        <v>91</v>
      </c>
      <c r="C54" s="13" t="s">
        <v>778</v>
      </c>
      <c r="D54" s="13" t="s">
        <v>779</v>
      </c>
      <c r="E54" s="13" t="s">
        <v>780</v>
      </c>
    </row>
    <row r="55" spans="1:5" ht="90" customHeight="1" x14ac:dyDescent="0.35">
      <c r="A55" s="12" t="s">
        <v>35</v>
      </c>
      <c r="B55" s="12" t="s">
        <v>98</v>
      </c>
      <c r="C55" s="13" t="s">
        <v>781</v>
      </c>
      <c r="D55" s="13" t="s">
        <v>782</v>
      </c>
      <c r="E55" s="13" t="s">
        <v>783</v>
      </c>
    </row>
    <row r="56" spans="1:5" ht="90" customHeight="1" x14ac:dyDescent="0.35">
      <c r="A56" s="12" t="s">
        <v>35</v>
      </c>
      <c r="B56" s="12" t="s">
        <v>104</v>
      </c>
      <c r="C56" s="13" t="s">
        <v>784</v>
      </c>
      <c r="D56" s="13" t="s">
        <v>785</v>
      </c>
      <c r="E56" s="13" t="s">
        <v>786</v>
      </c>
    </row>
    <row r="57" spans="1:5" ht="90" customHeight="1" x14ac:dyDescent="0.35">
      <c r="A57" s="12" t="s">
        <v>35</v>
      </c>
      <c r="B57" s="12" t="s">
        <v>110</v>
      </c>
      <c r="C57" s="13" t="s">
        <v>787</v>
      </c>
      <c r="D57" s="13" t="s">
        <v>788</v>
      </c>
      <c r="E57" s="13" t="s">
        <v>789</v>
      </c>
    </row>
    <row r="58" spans="1:5" ht="90" customHeight="1" x14ac:dyDescent="0.35">
      <c r="A58" s="15" t="s">
        <v>37</v>
      </c>
      <c r="B58" s="15" t="s">
        <v>78</v>
      </c>
      <c r="C58" s="16" t="s">
        <v>790</v>
      </c>
      <c r="D58" s="16" t="s">
        <v>791</v>
      </c>
      <c r="E58" s="16" t="s">
        <v>792</v>
      </c>
    </row>
    <row r="59" spans="1:5" ht="90" customHeight="1" x14ac:dyDescent="0.35">
      <c r="A59" s="15" t="s">
        <v>37</v>
      </c>
      <c r="B59" s="15" t="s">
        <v>85</v>
      </c>
      <c r="C59" s="16" t="s">
        <v>793</v>
      </c>
      <c r="D59" s="16" t="s">
        <v>794</v>
      </c>
      <c r="E59" s="16" t="s">
        <v>795</v>
      </c>
    </row>
    <row r="60" spans="1:5" ht="90" customHeight="1" x14ac:dyDescent="0.35">
      <c r="A60" s="15" t="s">
        <v>37</v>
      </c>
      <c r="B60" s="15" t="s">
        <v>91</v>
      </c>
      <c r="C60" s="16" t="s">
        <v>796</v>
      </c>
      <c r="D60" s="16" t="s">
        <v>797</v>
      </c>
      <c r="E60" s="16" t="s">
        <v>798</v>
      </c>
    </row>
    <row r="61" spans="1:5" ht="90" customHeight="1" x14ac:dyDescent="0.35">
      <c r="A61" s="15" t="s">
        <v>37</v>
      </c>
      <c r="B61" s="15" t="s">
        <v>98</v>
      </c>
      <c r="C61" s="16" t="s">
        <v>799</v>
      </c>
      <c r="D61" s="16" t="s">
        <v>800</v>
      </c>
      <c r="E61" s="16" t="s">
        <v>801</v>
      </c>
    </row>
    <row r="62" spans="1:5" ht="90" customHeight="1" x14ac:dyDescent="0.35">
      <c r="A62" s="15" t="s">
        <v>37</v>
      </c>
      <c r="B62" s="15" t="s">
        <v>104</v>
      </c>
      <c r="C62" s="16" t="s">
        <v>802</v>
      </c>
      <c r="D62" s="16" t="s">
        <v>803</v>
      </c>
      <c r="E62" s="16" t="s">
        <v>804</v>
      </c>
    </row>
    <row r="63" spans="1:5" ht="90" customHeight="1" x14ac:dyDescent="0.35">
      <c r="A63" s="15" t="s">
        <v>37</v>
      </c>
      <c r="B63" s="15" t="s">
        <v>110</v>
      </c>
      <c r="C63" s="16" t="s">
        <v>805</v>
      </c>
      <c r="D63" s="16" t="s">
        <v>806</v>
      </c>
      <c r="E63" s="16" t="s">
        <v>807</v>
      </c>
    </row>
    <row r="64" spans="1:5" ht="90" customHeight="1" x14ac:dyDescent="0.35">
      <c r="A64" s="12" t="s">
        <v>39</v>
      </c>
      <c r="B64" s="12" t="s">
        <v>78</v>
      </c>
      <c r="C64" s="13" t="s">
        <v>808</v>
      </c>
      <c r="D64" s="13" t="s">
        <v>809</v>
      </c>
      <c r="E64" s="13" t="s">
        <v>810</v>
      </c>
    </row>
    <row r="65" spans="1:5" ht="90" customHeight="1" x14ac:dyDescent="0.35">
      <c r="A65" s="12" t="s">
        <v>39</v>
      </c>
      <c r="B65" s="12" t="s">
        <v>85</v>
      </c>
      <c r="C65" s="13" t="s">
        <v>811</v>
      </c>
      <c r="D65" s="13" t="s">
        <v>812</v>
      </c>
      <c r="E65" s="13" t="s">
        <v>813</v>
      </c>
    </row>
    <row r="66" spans="1:5" ht="90" customHeight="1" x14ac:dyDescent="0.35">
      <c r="A66" s="12" t="s">
        <v>39</v>
      </c>
      <c r="B66" s="12" t="s">
        <v>91</v>
      </c>
      <c r="C66" s="13" t="s">
        <v>814</v>
      </c>
      <c r="D66" s="13" t="s">
        <v>815</v>
      </c>
      <c r="E66" s="13" t="s">
        <v>816</v>
      </c>
    </row>
    <row r="67" spans="1:5" ht="90" customHeight="1" x14ac:dyDescent="0.35">
      <c r="A67" s="12" t="s">
        <v>39</v>
      </c>
      <c r="B67" s="12" t="s">
        <v>98</v>
      </c>
      <c r="C67" s="13" t="s">
        <v>817</v>
      </c>
      <c r="D67" s="13" t="s">
        <v>818</v>
      </c>
      <c r="E67" s="13" t="s">
        <v>819</v>
      </c>
    </row>
    <row r="68" spans="1:5" ht="90" customHeight="1" x14ac:dyDescent="0.35">
      <c r="A68" s="12" t="s">
        <v>39</v>
      </c>
      <c r="B68" s="12" t="s">
        <v>104</v>
      </c>
      <c r="C68" s="13" t="s">
        <v>820</v>
      </c>
      <c r="D68" s="13" t="s">
        <v>821</v>
      </c>
      <c r="E68" s="13" t="s">
        <v>822</v>
      </c>
    </row>
    <row r="69" spans="1:5" ht="90" customHeight="1" x14ac:dyDescent="0.35">
      <c r="A69" s="12" t="s">
        <v>39</v>
      </c>
      <c r="B69" s="12" t="s">
        <v>110</v>
      </c>
      <c r="C69" s="13" t="s">
        <v>823</v>
      </c>
      <c r="D69" s="13" t="s">
        <v>824</v>
      </c>
      <c r="E69" s="13" t="s">
        <v>825</v>
      </c>
    </row>
    <row r="70" spans="1:5" ht="90" customHeight="1" x14ac:dyDescent="0.35">
      <c r="A70" s="12" t="s">
        <v>39</v>
      </c>
      <c r="B70" s="12" t="s">
        <v>116</v>
      </c>
      <c r="C70" s="13" t="s">
        <v>826</v>
      </c>
      <c r="D70" s="13" t="s">
        <v>827</v>
      </c>
      <c r="E70" s="13" t="s">
        <v>828</v>
      </c>
    </row>
    <row r="71" spans="1:5" ht="90" customHeight="1" x14ac:dyDescent="0.35">
      <c r="A71" s="15" t="s">
        <v>41</v>
      </c>
      <c r="B71" s="15" t="s">
        <v>78</v>
      </c>
      <c r="C71" s="16" t="s">
        <v>829</v>
      </c>
      <c r="D71" s="16" t="s">
        <v>830</v>
      </c>
      <c r="E71" s="16" t="s">
        <v>831</v>
      </c>
    </row>
    <row r="72" spans="1:5" ht="90" customHeight="1" x14ac:dyDescent="0.35">
      <c r="A72" s="15" t="s">
        <v>41</v>
      </c>
      <c r="B72" s="15" t="s">
        <v>85</v>
      </c>
      <c r="C72" s="16" t="s">
        <v>832</v>
      </c>
      <c r="D72" s="16" t="s">
        <v>833</v>
      </c>
      <c r="E72" s="16" t="s">
        <v>834</v>
      </c>
    </row>
    <row r="73" spans="1:5" ht="90" customHeight="1" x14ac:dyDescent="0.35">
      <c r="A73" s="15" t="s">
        <v>41</v>
      </c>
      <c r="B73" s="15" t="s">
        <v>91</v>
      </c>
      <c r="C73" s="16" t="s">
        <v>835</v>
      </c>
      <c r="D73" s="16" t="s">
        <v>836</v>
      </c>
      <c r="E73" s="16" t="s">
        <v>837</v>
      </c>
    </row>
    <row r="74" spans="1:5" ht="90" customHeight="1" x14ac:dyDescent="0.35">
      <c r="A74" s="15" t="s">
        <v>41</v>
      </c>
      <c r="B74" s="15" t="s">
        <v>98</v>
      </c>
      <c r="C74" s="16" t="s">
        <v>838</v>
      </c>
      <c r="D74" s="16" t="s">
        <v>839</v>
      </c>
      <c r="E74" s="16" t="s">
        <v>840</v>
      </c>
    </row>
    <row r="75" spans="1:5" ht="90" customHeight="1" x14ac:dyDescent="0.35">
      <c r="A75" s="15" t="s">
        <v>41</v>
      </c>
      <c r="B75" s="15" t="s">
        <v>104</v>
      </c>
      <c r="C75" s="16" t="s">
        <v>841</v>
      </c>
      <c r="D75" s="16" t="s">
        <v>842</v>
      </c>
      <c r="E75" s="16" t="s">
        <v>843</v>
      </c>
    </row>
    <row r="76" spans="1:5" ht="90" customHeight="1" x14ac:dyDescent="0.35">
      <c r="A76" s="15" t="s">
        <v>41</v>
      </c>
      <c r="B76" s="15" t="s">
        <v>110</v>
      </c>
      <c r="C76" s="16" t="s">
        <v>844</v>
      </c>
      <c r="D76" s="16" t="s">
        <v>845</v>
      </c>
      <c r="E76" s="16" t="s">
        <v>846</v>
      </c>
    </row>
    <row r="77" spans="1:5" ht="90" customHeight="1" x14ac:dyDescent="0.35">
      <c r="A77" s="15" t="s">
        <v>41</v>
      </c>
      <c r="B77" s="15" t="s">
        <v>116</v>
      </c>
      <c r="C77" s="16" t="s">
        <v>847</v>
      </c>
      <c r="D77" s="16" t="s">
        <v>848</v>
      </c>
      <c r="E77" s="16" t="s">
        <v>849</v>
      </c>
    </row>
    <row r="78" spans="1:5" ht="90" customHeight="1" x14ac:dyDescent="0.35">
      <c r="A78" s="15" t="s">
        <v>41</v>
      </c>
      <c r="B78" s="15" t="s">
        <v>122</v>
      </c>
      <c r="C78" s="16" t="s">
        <v>850</v>
      </c>
      <c r="D78" s="16" t="s">
        <v>851</v>
      </c>
      <c r="E78" s="16" t="s">
        <v>852</v>
      </c>
    </row>
    <row r="79" spans="1:5" ht="90" customHeight="1" x14ac:dyDescent="0.35">
      <c r="A79" s="15" t="s">
        <v>41</v>
      </c>
      <c r="B79" s="15" t="s">
        <v>128</v>
      </c>
      <c r="C79" s="16" t="s">
        <v>853</v>
      </c>
      <c r="D79" s="16" t="s">
        <v>854</v>
      </c>
      <c r="E79" s="16" t="s">
        <v>855</v>
      </c>
    </row>
    <row r="80" spans="1:5" ht="90" customHeight="1" x14ac:dyDescent="0.35">
      <c r="A80" s="12" t="s">
        <v>43</v>
      </c>
      <c r="B80" s="12" t="s">
        <v>78</v>
      </c>
      <c r="C80" s="13" t="s">
        <v>856</v>
      </c>
      <c r="D80" s="13" t="s">
        <v>857</v>
      </c>
      <c r="E80" s="13" t="s">
        <v>858</v>
      </c>
    </row>
    <row r="81" spans="1:5" ht="90" customHeight="1" x14ac:dyDescent="0.35">
      <c r="A81" s="12" t="s">
        <v>43</v>
      </c>
      <c r="B81" s="12" t="s">
        <v>85</v>
      </c>
      <c r="C81" s="13" t="s">
        <v>859</v>
      </c>
      <c r="D81" s="13" t="s">
        <v>860</v>
      </c>
      <c r="E81" s="13" t="s">
        <v>861</v>
      </c>
    </row>
    <row r="82" spans="1:5" ht="90" customHeight="1" x14ac:dyDescent="0.35">
      <c r="A82" s="12" t="s">
        <v>43</v>
      </c>
      <c r="B82" s="12" t="s">
        <v>91</v>
      </c>
      <c r="C82" s="13" t="s">
        <v>862</v>
      </c>
      <c r="D82" s="13" t="s">
        <v>863</v>
      </c>
      <c r="E82" s="13" t="s">
        <v>864</v>
      </c>
    </row>
    <row r="83" spans="1:5" ht="90" customHeight="1" x14ac:dyDescent="0.35">
      <c r="A83" s="12" t="s">
        <v>43</v>
      </c>
      <c r="B83" s="12" t="s">
        <v>98</v>
      </c>
      <c r="C83" s="13" t="s">
        <v>865</v>
      </c>
      <c r="D83" s="13" t="s">
        <v>866</v>
      </c>
      <c r="E83" s="13" t="s">
        <v>867</v>
      </c>
    </row>
    <row r="84" spans="1:5" ht="90" customHeight="1" x14ac:dyDescent="0.35">
      <c r="A84" s="12" t="s">
        <v>43</v>
      </c>
      <c r="B84" s="12" t="s">
        <v>104</v>
      </c>
      <c r="C84" s="13" t="s">
        <v>868</v>
      </c>
      <c r="D84" s="13" t="s">
        <v>869</v>
      </c>
      <c r="E84" s="13" t="s">
        <v>870</v>
      </c>
    </row>
    <row r="85" spans="1:5" ht="90" customHeight="1" x14ac:dyDescent="0.35">
      <c r="A85" s="12" t="s">
        <v>43</v>
      </c>
      <c r="B85" s="12" t="s">
        <v>110</v>
      </c>
      <c r="C85" s="13" t="s">
        <v>871</v>
      </c>
      <c r="D85" s="13" t="s">
        <v>872</v>
      </c>
      <c r="E85" s="13" t="s">
        <v>873</v>
      </c>
    </row>
    <row r="86" spans="1:5" ht="90" customHeight="1" x14ac:dyDescent="0.35">
      <c r="A86" s="12" t="s">
        <v>43</v>
      </c>
      <c r="B86" s="12" t="s">
        <v>116</v>
      </c>
      <c r="C86" s="13" t="s">
        <v>874</v>
      </c>
      <c r="D86" s="13" t="s">
        <v>875</v>
      </c>
      <c r="E86" s="13" t="s">
        <v>876</v>
      </c>
    </row>
  </sheetData>
  <mergeCells count="3">
    <mergeCell ref="A1:E1"/>
    <mergeCell ref="A2:E2"/>
    <mergeCell ref="A21:E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Overview &amp; Per-Week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Tran Hung</cp:lastModifiedBy>
  <cp:revision>0</cp:revision>
  <dcterms:created xsi:type="dcterms:W3CDTF">2026-07-24T04:16:52Z</dcterms:created>
  <dcterms:modified xsi:type="dcterms:W3CDTF">2026-07-24T04:30:39Z</dcterms:modified>
  <dc:language>en-US</dc:language>
</cp:coreProperties>
</file>